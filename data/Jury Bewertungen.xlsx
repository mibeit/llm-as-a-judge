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mrc-my.sharepoint.com/personal/fabian_probost_fim-rc_de/Documents/02Abschlussarbeiten/Studienprojekt Matvii/"/>
    </mc:Choice>
  </mc:AlternateContent>
  <xr:revisionPtr revIDLastSave="2" documentId="8_{E718D030-DE46-4CA7-987D-96783D35E7BB}" xr6:coauthVersionLast="47" xr6:coauthVersionMax="47" xr10:uidLastSave="{5849694F-D233-41ED-8DCF-71D96E9BC55D}"/>
  <bookViews>
    <workbookView xWindow="-110" yWindow="-110" windowWidth="19420" windowHeight="11500" xr2:uid="{63D4D2E9-E439-485F-B80B-0713071905CE}"/>
  </bookViews>
  <sheets>
    <sheet name="Tabelle1" sheetId="1" r:id="rId1"/>
  </sheets>
  <definedNames>
    <definedName name="_xlnm._FilterDatabase" localSheetId="0" hidden="1">Tabelle1!$A$1:$M$1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5" i="1" l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<sst xmlns="http://schemas.openxmlformats.org/spreadsheetml/2006/main" count="635" uniqueCount="216">
  <si>
    <t>Contest</t>
  </si>
  <si>
    <t>Proposal title</t>
  </si>
  <si>
    <t>Author/Team name</t>
  </si>
  <si>
    <t>Proposal URL</t>
  </si>
  <si>
    <t>Contest Phase</t>
  </si>
  <si>
    <t>Judge</t>
  </si>
  <si>
    <t>Average</t>
  </si>
  <si>
    <t>Feasibility</t>
  </si>
  <si>
    <t>Novelty</t>
  </si>
  <si>
    <t>Impact</t>
  </si>
  <si>
    <t>Presentation</t>
  </si>
  <si>
    <t>Behavior</t>
  </si>
  <si>
    <t>Our Endeavors</t>
  </si>
  <si>
    <t>Lia Purnamasari</t>
  </si>
  <si>
    <t xml:space="preserve">Proposal number: </t>
  </si>
  <si>
    <t>Semi-Finalist selection</t>
  </si>
  <si>
    <t>Lets walk!</t>
  </si>
  <si>
    <t>MESA 4</t>
  </si>
  <si>
    <t>A new and easy way to teach sustainability in the classroom</t>
  </si>
  <si>
    <t>LEDEdu</t>
  </si>
  <si>
    <t>Global Environmental Monitoring network</t>
  </si>
  <si>
    <t>uRADMonitor</t>
  </si>
  <si>
    <t>NRG Tour</t>
  </si>
  <si>
    <t>Sam Goldberg</t>
  </si>
  <si>
    <t>Mother earth is the boss which pays the guardians of the garden</t>
  </si>
  <si>
    <t>Co-Play</t>
  </si>
  <si>
    <t>. . . REPAIRING BROKEN ALLIANCES ! . . .</t>
  </si>
  <si>
    <t>Johnnie Buttram</t>
  </si>
  <si>
    <t>Youth Climate Leaders (YCL)</t>
  </si>
  <si>
    <t>YouthClimateLeaders</t>
  </si>
  <si>
    <t>Commuting behavior to avoid negative impacts of technological advancement</t>
  </si>
  <si>
    <t>NUSTIAN</t>
  </si>
  <si>
    <t>Catalyzing systemic change to solve global warming</t>
  </si>
  <si>
    <t>Andrew Gaines</t>
  </si>
  <si>
    <t>The GreenLine: You shop. We reduce the impact.</t>
  </si>
  <si>
    <t>The GreenLine</t>
  </si>
  <si>
    <t>Engaging media for making climate change part of popular culture</t>
  </si>
  <si>
    <t>Upasna Sharma</t>
  </si>
  <si>
    <t>Catalyzing An Environmental Gold Rush</t>
  </si>
  <si>
    <t>Warwick Willcoxson</t>
  </si>
  <si>
    <t>ADES: Mobile sales promotion of energy efficient cookstoves in Madagascar</t>
  </si>
  <si>
    <t>Christian Frost</t>
  </si>
  <si>
    <t>Stairway to Change - Positive Incentives for Green Actions</t>
  </si>
  <si>
    <t>Green Action</t>
  </si>
  <si>
    <t>Food Heroes: Change The World With Every Bite</t>
  </si>
  <si>
    <t>JUCCCE</t>
  </si>
  <si>
    <t>Salvation from plastic - Recycling minds along with waste</t>
  </si>
  <si>
    <t>Team Rocket</t>
  </si>
  <si>
    <t>SwimAware, swimming with impact</t>
  </si>
  <si>
    <t>SwimAware</t>
  </si>
  <si>
    <t>ECOS--Education, Communication and Outreach Stakeholders--a new UNFCCC Community</t>
  </si>
  <si>
    <t>ECOS</t>
  </si>
  <si>
    <t>Leading by Example: Require Faculty to Walk the Walk</t>
  </si>
  <si>
    <t>Susan S.</t>
  </si>
  <si>
    <t>Women specific Adaptations to Climate Change in India: a Documentation Study</t>
  </si>
  <si>
    <t>WAVE</t>
  </si>
  <si>
    <t>MOSSpod: empowering the urban workforce to reduce localised air pollution</t>
  </si>
  <si>
    <t>Felicity O'Kelly</t>
  </si>
  <si>
    <t>Climate Stories</t>
  </si>
  <si>
    <t>Urban Fabrick</t>
  </si>
  <si>
    <t>Sustainability gaming template creates and implements environmental solutions</t>
  </si>
  <si>
    <t>Portia Brockway</t>
  </si>
  <si>
    <t>Enviro Commons</t>
  </si>
  <si>
    <t>Helene Julien</t>
  </si>
  <si>
    <t>Global Civic Center - a public square and park for the planet</t>
  </si>
  <si>
    <t>Emil Jacob</t>
  </si>
  <si>
    <t>Energy</t>
  </si>
  <si>
    <t>MIEPCO Deep geothermal Lady Lola (A) Australia</t>
  </si>
  <si>
    <t>David Fletcher</t>
  </si>
  <si>
    <t>Shutter-like turbine for low head shallow river hydrodynamic system</t>
  </si>
  <si>
    <t>Kiwaho Lab</t>
  </si>
  <si>
    <t>HELIAC Solar Cooker - Inexpensive, But Efficient</t>
  </si>
  <si>
    <t>HELIAC</t>
  </si>
  <si>
    <t>Transforming CO2 in Combusted Fossil Fuel Exhaust Into Calcium Carbonate</t>
  </si>
  <si>
    <t>Sidel Global</t>
  </si>
  <si>
    <t>We Capture the wave's power and transform it into electricity</t>
  </si>
  <si>
    <t>ARRECIFE SYSTEMS</t>
  </si>
  <si>
    <t>Clean cooking solutions and development of climate change mitigation project</t>
  </si>
  <si>
    <t>Climate Advocacy</t>
  </si>
  <si>
    <t>Transforming CO2 in powerplant into soda &amp;amp; deicing salt in situ</t>
  </si>
  <si>
    <t>Coal Smart</t>
  </si>
  <si>
    <t>Coalsmart</t>
  </si>
  <si>
    <t>Community micro hydropower generation in the Hispaniola island</t>
  </si>
  <si>
    <t>REDSER</t>
  </si>
  <si>
    <t>Space-elevator-based nuclear power plant</t>
  </si>
  <si>
    <t>trialballoon</t>
  </si>
  <si>
    <t>Distributed Molten Salt Heat Storage</t>
  </si>
  <si>
    <t>darren soong</t>
  </si>
  <si>
    <t>Eco-Friendly MOGS.</t>
  </si>
  <si>
    <t>Urval Chotalia</t>
  </si>
  <si>
    <t>More Than Just Electricity: Molten Salt Reactors as Industrial Heat</t>
  </si>
  <si>
    <t>Generation Atomic</t>
  </si>
  <si>
    <t>Energy generation by using compact group of floating windmills on sea.</t>
  </si>
  <si>
    <t>Ocean energy group</t>
  </si>
  <si>
    <t>Giant Fresnel lens system</t>
  </si>
  <si>
    <t>BMSH Engine: Gravity @ work in a new Hydroelectricity: No river or dam required</t>
  </si>
  <si>
    <t>Musole B</t>
  </si>
  <si>
    <t>Establishing protocol for Testing and Reporting Solar Cooker Performance</t>
  </si>
  <si>
    <t>CT/Dr. Alan Bigelow</t>
  </si>
  <si>
    <t>'Power insurance' for off-grid solar home systems</t>
  </si>
  <si>
    <t>AALO</t>
  </si>
  <si>
    <t>The Yellowstone Caldera Project</t>
  </si>
  <si>
    <t>Electrify2025</t>
  </si>
  <si>
    <t>Fiber solar battery with the effect of refraction and conversion of radiation</t>
  </si>
  <si>
    <t>Kovalevich</t>
  </si>
  <si>
    <t>Hydroelectric energy generation using Flood Water</t>
  </si>
  <si>
    <t>Adejoke Bayowa</t>
  </si>
  <si>
    <t>The financial data needed to justify transitioning to renewable energy supply</t>
  </si>
  <si>
    <t>Daniel Howard</t>
  </si>
  <si>
    <t>Turning Air pollution into ink</t>
  </si>
  <si>
    <t>Chakr Innovation</t>
  </si>
  <si>
    <t>Circulating Air Heating Furnace</t>
  </si>
  <si>
    <t>design and manufacture of a biofuel production</t>
  </si>
  <si>
    <t>Boris Mouako Djeumako</t>
  </si>
  <si>
    <t>Solar restaurant</t>
  </si>
  <si>
    <t>Le Presage</t>
  </si>
  <si>
    <t>Adaptation</t>
  </si>
  <si>
    <t>Catchment Management and Drip Irrigation for Resilience Building in Malawi</t>
  </si>
  <si>
    <t>FOBRECO</t>
  </si>
  <si>
    <t>Climate smart agriculture: A solution for sustainable environmental security</t>
  </si>
  <si>
    <t>Soil conservation</t>
  </si>
  <si>
    <t>Correct Calculation of Climate Sensitivity</t>
  </si>
  <si>
    <t>Magna est veritas</t>
  </si>
  <si>
    <t>Hibernating Disease Pro-active Response</t>
  </si>
  <si>
    <t>Trialballoon</t>
  </si>
  <si>
    <t>Intelligent Forest Fire Extinguishing System</t>
  </si>
  <si>
    <t>Prioritizing adaptation options for African cities</t>
  </si>
  <si>
    <t>Teddy Odindo</t>
  </si>
  <si>
    <t>Rainwater Harvesting as Disaster Risk Reduction Tool for Drought and Floods</t>
  </si>
  <si>
    <t>LRWHF</t>
  </si>
  <si>
    <t>Replenishing Our Reservoirs To Survive Drought!</t>
  </si>
  <si>
    <t>Stopping Unstoppable Sea Level Rise</t>
  </si>
  <si>
    <t>Team_ISI</t>
  </si>
  <si>
    <t>Urban-Rural Network Tool for successfully integrating companies and communities</t>
  </si>
  <si>
    <t>DI PUCP</t>
  </si>
  <si>
    <t>VILLAGE ADAPTATION PROJECT</t>
  </si>
  <si>
    <t>VILLAGER ADAPTATION</t>
  </si>
  <si>
    <t>Climate Information Mobile App</t>
  </si>
  <si>
    <t>Okongo Orlale</t>
  </si>
  <si>
    <t>Communities Responding to Extreme Weather (CREW)</t>
  </si>
  <si>
    <t>Craig Altemose</t>
  </si>
  <si>
    <t>Community Livelihood Alternatives (CLA) for Coastal Communities in Nigeria</t>
  </si>
  <si>
    <t>Future Green</t>
  </si>
  <si>
    <t>Empowering women farmers for Climate Smart Agriculter throug ICTs</t>
  </si>
  <si>
    <t>Sohanur Rahman</t>
  </si>
  <si>
    <t>Freshwater Reservoirs in the sea</t>
  </si>
  <si>
    <t>Incentivized disaster preparedness &amp;amp; gamification</t>
  </si>
  <si>
    <t>SAADITHYA + SARKAR</t>
  </si>
  <si>
    <t>MOVE - Model for Vulnerability Evaluation for urban planning of smart cities</t>
  </si>
  <si>
    <t>WayCarbon</t>
  </si>
  <si>
    <t>Socio-ecological vulnerability of reef fish systems in the mexican Pacific.</t>
  </si>
  <si>
    <t>Science for people</t>
  </si>
  <si>
    <t>Effectiveness of adaptation strategies for cities in different climate zones</t>
  </si>
  <si>
    <t>Urb.Clim.Mod.BERLIN</t>
  </si>
  <si>
    <t>Mini Elevated GREEN TRAINS - preparing for flooded subways in coastal cities</t>
  </si>
  <si>
    <t>Multi-Source Solar Water Purification Units Built With Readily Available Parts</t>
  </si>
  <si>
    <t>PV Pure</t>
  </si>
  <si>
    <t>Naturally heated homes for colder and poorer regions of the world</t>
  </si>
  <si>
    <t>Javed Sultan</t>
  </si>
  <si>
    <t>Resiliency in Face of Anticipated Droughts Is Provided by Desalination Hopscotch</t>
  </si>
  <si>
    <t>WaterSpots : Watering Holes for the 21st century</t>
  </si>
  <si>
    <t>Youth for Resilient Cities to Climate Change @ Mexico City</t>
  </si>
  <si>
    <t>Youth4Climate</t>
  </si>
  <si>
    <t>LandUse</t>
  </si>
  <si>
    <t>Biochar - Fighting climate-change, improving agriculture and more</t>
  </si>
  <si>
    <t>Nextchar</t>
  </si>
  <si>
    <t>Innovative Agriculture</t>
  </si>
  <si>
    <t>Aurora Nguyen</t>
  </si>
  <si>
    <t>Portable biogas plants for house hold waste management</t>
  </si>
  <si>
    <t>Vivesty Green</t>
  </si>
  <si>
    <t>Pyrolysis - With clean biowaste technology towards a sustainable future</t>
  </si>
  <si>
    <t>Pyrolysis GmbH</t>
  </si>
  <si>
    <t>SMALL HOLDER FARMERS INITIATIVES ACCELERATION</t>
  </si>
  <si>
    <t>Finding XY</t>
  </si>
  <si>
    <t>Wecyclers: Promoting Social Entrepreneurship through Recycling</t>
  </si>
  <si>
    <t>Bilikiss Adebiyi-Abiola</t>
  </si>
  <si>
    <t>Aab-e-hayaat, a super absorbent polymer for agricultural use (Hydroponics)</t>
  </si>
  <si>
    <t>Aqua Vitae</t>
  </si>
  <si>
    <t>Climate Change Communication in Schools in Uganda</t>
  </si>
  <si>
    <t>Tree Talk Plus</t>
  </si>
  <si>
    <t>The Kerash Effect-Mixture of Flyash and Keratin to replace Fertilizer</t>
  </si>
  <si>
    <t>Pooja Hariharan</t>
  </si>
  <si>
    <t>Assam Fuelwood Decision Support System (AFDSS)</t>
  </si>
  <si>
    <t>Swapan Mehra</t>
  </si>
  <si>
    <t>Development of model sustainable system of tea cultivation</t>
  </si>
  <si>
    <t>Green tech team</t>
  </si>
  <si>
    <t>DISASTER RISK REDUCTION BY ZERO/MINIMUM TILLAGE (DRR-ZMT)</t>
  </si>
  <si>
    <t>CARITAS MALINDI</t>
  </si>
  <si>
    <t>Forest and cropland rehabilitation through sustainable farming and agroforestry</t>
  </si>
  <si>
    <t>MUAD Negros</t>
  </si>
  <si>
    <t>GREENHOUSE GAS REDUCTION IN AGRICULTURAL LAND USING A CARBON NEGATIVE TECHNOLOGY</t>
  </si>
  <si>
    <t>ClimateFriendly</t>
  </si>
  <si>
    <t>Using ICT (Conservation App) in conserving the Bamenda Highlands Forests.</t>
  </si>
  <si>
    <t>The Greens</t>
  </si>
  <si>
    <t>Vermicomposting to sequester carbon, enrich soil and improve livelihoods</t>
  </si>
  <si>
    <t>Jaya Organic Yojana</t>
  </si>
  <si>
    <t>Agricultural Use of Nitrapyrin to Mitigate Nitrous Oxide Emissions from Soils</t>
  </si>
  <si>
    <t>Dinesh Panday</t>
  </si>
  <si>
    <t>Developing an Alternative to Shifting Cultivation in North-East India.</t>
  </si>
  <si>
    <t>David Gandhi</t>
  </si>
  <si>
    <t>Pedal-powered Urban Farmers to Save the World: One lawn at a time!</t>
  </si>
  <si>
    <t>Fleet Farming</t>
  </si>
  <si>
    <t>Plant 10+ million idle acres in trees</t>
  </si>
  <si>
    <t>Rod Walker</t>
  </si>
  <si>
    <t>A new paradigm for plant health assessment and methane gas mitigation</t>
  </si>
  <si>
    <t>Roshan Regmi</t>
  </si>
  <si>
    <t>From Agro-Waste to aSustainable Income</t>
  </si>
  <si>
    <t>Akanksha Ahuja</t>
  </si>
  <si>
    <t>MUNICIPAL SOLID WASTE (MSW) RECYCLING/MANAGEMENT THROUGH INNOVATIVE TECHNOLOGY</t>
  </si>
  <si>
    <t>Babayan&amp;amp;Martirosyan</t>
  </si>
  <si>
    <t>Revolutionizing the management of residuals in agriculture and timber investment</t>
  </si>
  <si>
    <t>Hardwoods Brasil</t>
  </si>
  <si>
    <t>Waste Business Hub: nurturing Waste Business Entrepreneurs (Wastepreneurs)""</t>
  </si>
  <si>
    <t>NGALIM FRANKLIN  NJAIWO</t>
  </si>
  <si>
    <t>Waste, A source of Resource : WAR - Learn to Empower</t>
  </si>
  <si>
    <t>Team 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</si>
</sst>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726C0-772F-4473-958F-852844377270}">
  <dimension ref="A1:M105"/>
  <sheetViews>
    <sheetView tabSelected="1" topLeftCell="C1" workbookViewId="0">
      <selection activeCell="N1" sqref="N1:N1048576"/>
    </sheetView>
  </sheetViews>
  <sheetFormatPr baseColWidth="10" defaultColWidth="11.36328125" defaultRowHeight="14.5" x14ac:dyDescent="0.35"/>
  <cols>
    <col min="2" max="2" width="73.08984375" customWidth="1"/>
    <col min="3" max="3" width="19.08984375" customWidth="1"/>
    <col min="4" max="4" width="9.90625" customWidth="1"/>
    <col min="5" max="5" width="19.81640625" customWidth="1"/>
    <col min="6" max="6" width="26.453125" customWidth="1"/>
  </cols>
  <sheetData>
    <row r="1" spans="1:13" x14ac:dyDescent="0.35">
      <c r="A1" t="s">
        <v>0</v>
      </c>
      <c r="B1" t="s">
        <v>1</v>
      </c>
      <c r="C1" t="s">
        <v>2</v>
      </c>
      <c r="E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5">
      <c r="A2" t="s">
        <v>11</v>
      </c>
      <c r="B2" t="s">
        <v>12</v>
      </c>
      <c r="C2" t="s">
        <v>13</v>
      </c>
      <c r="D2" t="s">
        <v>14</v>
      </c>
      <c r="E2">
        <v>1334116</v>
      </c>
      <c r="F2" s="1" t="str">
        <f>CONCATENATE(D2,E2)</f>
        <v>Proposal number: 1334116</v>
      </c>
      <c r="G2" t="s">
        <v>15</v>
      </c>
      <c r="H2" t="s">
        <v>6</v>
      </c>
      <c r="I2">
        <v>1.62</v>
      </c>
      <c r="J2">
        <v>1.5</v>
      </c>
      <c r="K2">
        <v>1.5</v>
      </c>
      <c r="L2">
        <v>2</v>
      </c>
      <c r="M2">
        <v>1.5</v>
      </c>
    </row>
    <row r="3" spans="1:13" x14ac:dyDescent="0.35">
      <c r="A3" t="s">
        <v>11</v>
      </c>
      <c r="B3" t="s">
        <v>16</v>
      </c>
      <c r="C3" t="s">
        <v>17</v>
      </c>
      <c r="D3" t="s">
        <v>14</v>
      </c>
      <c r="E3">
        <v>1333885</v>
      </c>
      <c r="F3" s="1" t="str">
        <f t="shared" ref="F3:F66" si="0">CONCATENATE(D3,E3)</f>
        <v>Proposal number: 1333885</v>
      </c>
      <c r="G3" t="s">
        <v>15</v>
      </c>
      <c r="H3" t="s">
        <v>6</v>
      </c>
      <c r="I3">
        <v>2.75</v>
      </c>
      <c r="J3">
        <v>3</v>
      </c>
      <c r="K3">
        <v>2</v>
      </c>
      <c r="L3">
        <v>3</v>
      </c>
      <c r="M3">
        <v>3</v>
      </c>
    </row>
    <row r="4" spans="1:13" x14ac:dyDescent="0.35">
      <c r="A4" t="s">
        <v>11</v>
      </c>
      <c r="B4" t="s">
        <v>18</v>
      </c>
      <c r="C4" t="s">
        <v>19</v>
      </c>
      <c r="D4" t="s">
        <v>14</v>
      </c>
      <c r="E4">
        <v>1334125</v>
      </c>
      <c r="F4" s="1" t="str">
        <f t="shared" si="0"/>
        <v>Proposal number: 1334125</v>
      </c>
      <c r="G4" t="s">
        <v>15</v>
      </c>
      <c r="H4" t="s">
        <v>6</v>
      </c>
      <c r="I4">
        <v>2.38</v>
      </c>
      <c r="J4">
        <v>2.5</v>
      </c>
      <c r="K4">
        <v>2</v>
      </c>
      <c r="L4">
        <v>2.5</v>
      </c>
      <c r="M4">
        <v>2.5</v>
      </c>
    </row>
    <row r="5" spans="1:13" x14ac:dyDescent="0.35">
      <c r="A5" t="s">
        <v>11</v>
      </c>
      <c r="B5" t="s">
        <v>20</v>
      </c>
      <c r="C5" t="s">
        <v>21</v>
      </c>
      <c r="D5" t="s">
        <v>14</v>
      </c>
      <c r="E5">
        <v>1334082</v>
      </c>
      <c r="F5" s="1" t="str">
        <f t="shared" si="0"/>
        <v>Proposal number: 1334082</v>
      </c>
      <c r="G5" t="s">
        <v>15</v>
      </c>
      <c r="H5" t="s">
        <v>6</v>
      </c>
      <c r="I5">
        <v>2.62</v>
      </c>
      <c r="J5">
        <v>3</v>
      </c>
      <c r="K5">
        <v>2.5</v>
      </c>
      <c r="L5">
        <v>2.5</v>
      </c>
      <c r="M5">
        <v>2.5</v>
      </c>
    </row>
    <row r="6" spans="1:13" x14ac:dyDescent="0.35">
      <c r="A6" t="s">
        <v>11</v>
      </c>
      <c r="B6" t="s">
        <v>22</v>
      </c>
      <c r="C6" t="s">
        <v>23</v>
      </c>
      <c r="D6" t="s">
        <v>14</v>
      </c>
      <c r="E6">
        <v>1334091</v>
      </c>
      <c r="F6" s="1" t="str">
        <f t="shared" si="0"/>
        <v>Proposal number: 1334091</v>
      </c>
      <c r="G6" t="s">
        <v>15</v>
      </c>
      <c r="H6" t="s">
        <v>6</v>
      </c>
      <c r="I6">
        <v>2.38</v>
      </c>
      <c r="J6">
        <v>3</v>
      </c>
      <c r="K6">
        <v>2</v>
      </c>
      <c r="L6">
        <v>2</v>
      </c>
      <c r="M6">
        <v>2.5</v>
      </c>
    </row>
    <row r="7" spans="1:13" x14ac:dyDescent="0.35">
      <c r="A7" t="s">
        <v>11</v>
      </c>
      <c r="B7" t="s">
        <v>24</v>
      </c>
      <c r="C7" t="s">
        <v>25</v>
      </c>
      <c r="D7" t="s">
        <v>14</v>
      </c>
      <c r="E7">
        <v>1334089</v>
      </c>
      <c r="F7" s="1" t="str">
        <f t="shared" si="0"/>
        <v>Proposal number: 1334089</v>
      </c>
      <c r="G7" t="s">
        <v>15</v>
      </c>
      <c r="H7" t="s">
        <v>6</v>
      </c>
      <c r="I7">
        <v>1.5</v>
      </c>
      <c r="J7">
        <v>1</v>
      </c>
      <c r="K7">
        <v>3</v>
      </c>
      <c r="L7">
        <v>1</v>
      </c>
      <c r="M7">
        <v>1</v>
      </c>
    </row>
    <row r="8" spans="1:13" x14ac:dyDescent="0.35">
      <c r="A8" t="s">
        <v>11</v>
      </c>
      <c r="B8" t="s">
        <v>26</v>
      </c>
      <c r="C8" t="s">
        <v>27</v>
      </c>
      <c r="D8" t="s">
        <v>14</v>
      </c>
      <c r="E8">
        <v>1333894</v>
      </c>
      <c r="F8" s="1" t="str">
        <f t="shared" si="0"/>
        <v>Proposal number: 1333894</v>
      </c>
      <c r="G8" t="s">
        <v>15</v>
      </c>
      <c r="H8" t="s">
        <v>6</v>
      </c>
      <c r="I8">
        <v>1.08</v>
      </c>
      <c r="J8">
        <v>1</v>
      </c>
      <c r="K8">
        <v>1.33</v>
      </c>
      <c r="L8">
        <v>1</v>
      </c>
      <c r="M8">
        <v>1</v>
      </c>
    </row>
    <row r="9" spans="1:13" x14ac:dyDescent="0.35">
      <c r="A9" t="s">
        <v>11</v>
      </c>
      <c r="B9" t="s">
        <v>28</v>
      </c>
      <c r="C9" t="s">
        <v>29</v>
      </c>
      <c r="D9" t="s">
        <v>14</v>
      </c>
      <c r="E9">
        <v>1334191</v>
      </c>
      <c r="F9" s="1" t="str">
        <f t="shared" si="0"/>
        <v>Proposal number: 1334191</v>
      </c>
      <c r="G9" t="s">
        <v>15</v>
      </c>
      <c r="H9" t="s">
        <v>6</v>
      </c>
      <c r="I9">
        <v>3.5</v>
      </c>
      <c r="J9">
        <v>4</v>
      </c>
      <c r="K9">
        <v>3</v>
      </c>
      <c r="L9">
        <v>3</v>
      </c>
      <c r="M9">
        <v>4</v>
      </c>
    </row>
    <row r="10" spans="1:13" x14ac:dyDescent="0.35">
      <c r="A10" t="s">
        <v>11</v>
      </c>
      <c r="B10" t="s">
        <v>30</v>
      </c>
      <c r="C10" t="s">
        <v>31</v>
      </c>
      <c r="D10" t="s">
        <v>14</v>
      </c>
      <c r="E10">
        <v>1334010</v>
      </c>
      <c r="F10" s="1" t="str">
        <f t="shared" si="0"/>
        <v>Proposal number: 1334010</v>
      </c>
      <c r="G10" t="s">
        <v>15</v>
      </c>
      <c r="H10" t="s">
        <v>6</v>
      </c>
      <c r="I10">
        <v>2.75</v>
      </c>
      <c r="J10">
        <v>3</v>
      </c>
      <c r="K10">
        <v>2.5</v>
      </c>
      <c r="L10">
        <v>2.5</v>
      </c>
      <c r="M10">
        <v>3</v>
      </c>
    </row>
    <row r="11" spans="1:13" x14ac:dyDescent="0.35">
      <c r="A11" t="s">
        <v>11</v>
      </c>
      <c r="B11" t="s">
        <v>32</v>
      </c>
      <c r="C11" t="s">
        <v>33</v>
      </c>
      <c r="D11" t="s">
        <v>14</v>
      </c>
      <c r="E11">
        <v>1334090</v>
      </c>
      <c r="F11" s="1" t="str">
        <f t="shared" si="0"/>
        <v>Proposal number: 1334090</v>
      </c>
      <c r="G11" t="s">
        <v>15</v>
      </c>
      <c r="H11" t="s">
        <v>6</v>
      </c>
      <c r="I11">
        <v>2.33</v>
      </c>
      <c r="J11">
        <v>2.33</v>
      </c>
      <c r="K11">
        <v>2</v>
      </c>
      <c r="L11">
        <v>2.33</v>
      </c>
      <c r="M11">
        <v>2.67</v>
      </c>
    </row>
    <row r="12" spans="1:13" x14ac:dyDescent="0.35">
      <c r="A12" t="s">
        <v>11</v>
      </c>
      <c r="B12" t="s">
        <v>34</v>
      </c>
      <c r="C12" t="s">
        <v>35</v>
      </c>
      <c r="D12" t="s">
        <v>14</v>
      </c>
      <c r="E12">
        <v>1333948</v>
      </c>
      <c r="F12" s="1" t="str">
        <f t="shared" si="0"/>
        <v>Proposal number: 1333948</v>
      </c>
      <c r="G12" t="s">
        <v>15</v>
      </c>
      <c r="H12" t="s">
        <v>6</v>
      </c>
      <c r="I12">
        <v>2.58</v>
      </c>
      <c r="J12">
        <v>2.33</v>
      </c>
      <c r="K12">
        <v>2.33</v>
      </c>
      <c r="L12">
        <v>3.33</v>
      </c>
      <c r="M12">
        <v>2.33</v>
      </c>
    </row>
    <row r="13" spans="1:13" x14ac:dyDescent="0.35">
      <c r="A13" t="s">
        <v>11</v>
      </c>
      <c r="B13" t="s">
        <v>36</v>
      </c>
      <c r="C13" t="s">
        <v>37</v>
      </c>
      <c r="D13" t="s">
        <v>14</v>
      </c>
      <c r="E13">
        <v>1334162</v>
      </c>
      <c r="F13" s="1" t="str">
        <f t="shared" si="0"/>
        <v>Proposal number: 1334162</v>
      </c>
      <c r="G13" t="s">
        <v>15</v>
      </c>
      <c r="H13" t="s">
        <v>6</v>
      </c>
      <c r="I13">
        <v>3.12</v>
      </c>
      <c r="J13">
        <v>3</v>
      </c>
      <c r="K13">
        <v>3</v>
      </c>
      <c r="L13">
        <v>3</v>
      </c>
      <c r="M13">
        <v>3.5</v>
      </c>
    </row>
    <row r="14" spans="1:13" x14ac:dyDescent="0.35">
      <c r="A14" t="s">
        <v>11</v>
      </c>
      <c r="B14" t="s">
        <v>38</v>
      </c>
      <c r="C14" t="s">
        <v>39</v>
      </c>
      <c r="D14" t="s">
        <v>14</v>
      </c>
      <c r="E14">
        <v>1334038</v>
      </c>
      <c r="F14" s="1" t="str">
        <f t="shared" si="0"/>
        <v>Proposal number: 1334038</v>
      </c>
      <c r="G14" t="s">
        <v>15</v>
      </c>
      <c r="H14" t="s">
        <v>6</v>
      </c>
      <c r="I14">
        <v>1.75</v>
      </c>
      <c r="J14">
        <v>2</v>
      </c>
      <c r="K14">
        <v>2</v>
      </c>
      <c r="L14">
        <v>1.5</v>
      </c>
      <c r="M14">
        <v>1.5</v>
      </c>
    </row>
    <row r="15" spans="1:13" x14ac:dyDescent="0.35">
      <c r="A15" t="s">
        <v>11</v>
      </c>
      <c r="B15" t="s">
        <v>40</v>
      </c>
      <c r="C15" t="s">
        <v>41</v>
      </c>
      <c r="D15" t="s">
        <v>14</v>
      </c>
      <c r="E15">
        <v>1334099</v>
      </c>
      <c r="F15" s="1" t="str">
        <f t="shared" si="0"/>
        <v>Proposal number: 1334099</v>
      </c>
      <c r="G15" t="s">
        <v>15</v>
      </c>
      <c r="H15" t="s">
        <v>6</v>
      </c>
      <c r="I15">
        <v>2.38</v>
      </c>
      <c r="J15">
        <v>2.5</v>
      </c>
      <c r="K15">
        <v>2</v>
      </c>
      <c r="L15">
        <v>2.5</v>
      </c>
      <c r="M15">
        <v>2.5</v>
      </c>
    </row>
    <row r="16" spans="1:13" x14ac:dyDescent="0.35">
      <c r="A16" t="s">
        <v>11</v>
      </c>
      <c r="B16" t="s">
        <v>42</v>
      </c>
      <c r="C16" t="s">
        <v>43</v>
      </c>
      <c r="D16" t="s">
        <v>14</v>
      </c>
      <c r="E16">
        <v>1333904</v>
      </c>
      <c r="F16" s="1" t="str">
        <f t="shared" si="0"/>
        <v>Proposal number: 1333904</v>
      </c>
      <c r="G16" t="s">
        <v>15</v>
      </c>
      <c r="H16" t="s">
        <v>6</v>
      </c>
      <c r="I16">
        <v>1.75</v>
      </c>
      <c r="J16">
        <v>2</v>
      </c>
      <c r="K16">
        <v>2</v>
      </c>
      <c r="L16">
        <v>1.5</v>
      </c>
      <c r="M16">
        <v>1.5</v>
      </c>
    </row>
    <row r="17" spans="1:13" x14ac:dyDescent="0.35">
      <c r="A17" t="s">
        <v>11</v>
      </c>
      <c r="B17" t="s">
        <v>44</v>
      </c>
      <c r="C17" t="s">
        <v>45</v>
      </c>
      <c r="D17" t="s">
        <v>14</v>
      </c>
      <c r="E17">
        <v>1334078</v>
      </c>
      <c r="F17" s="1" t="str">
        <f t="shared" si="0"/>
        <v>Proposal number: 1334078</v>
      </c>
      <c r="G17" t="s">
        <v>15</v>
      </c>
      <c r="H17" t="s">
        <v>6</v>
      </c>
      <c r="I17">
        <v>3.38</v>
      </c>
      <c r="J17">
        <v>3</v>
      </c>
      <c r="K17">
        <v>3</v>
      </c>
      <c r="L17">
        <v>4</v>
      </c>
      <c r="M17">
        <v>3.5</v>
      </c>
    </row>
    <row r="18" spans="1:13" x14ac:dyDescent="0.35">
      <c r="A18" t="s">
        <v>11</v>
      </c>
      <c r="B18" t="s">
        <v>46</v>
      </c>
      <c r="C18" t="s">
        <v>47</v>
      </c>
      <c r="D18" t="s">
        <v>14</v>
      </c>
      <c r="E18">
        <v>1334157</v>
      </c>
      <c r="F18" s="1" t="str">
        <f t="shared" si="0"/>
        <v>Proposal number: 1334157</v>
      </c>
      <c r="G18" t="s">
        <v>15</v>
      </c>
      <c r="H18" t="s">
        <v>6</v>
      </c>
      <c r="I18">
        <v>2.62</v>
      </c>
      <c r="J18">
        <v>2</v>
      </c>
      <c r="K18">
        <v>2.5</v>
      </c>
      <c r="L18">
        <v>3.5</v>
      </c>
      <c r="M18">
        <v>2.5</v>
      </c>
    </row>
    <row r="19" spans="1:13" x14ac:dyDescent="0.35">
      <c r="A19" t="s">
        <v>11</v>
      </c>
      <c r="B19" t="s">
        <v>48</v>
      </c>
      <c r="C19" t="s">
        <v>49</v>
      </c>
      <c r="D19" t="s">
        <v>14</v>
      </c>
      <c r="E19">
        <v>1334147</v>
      </c>
      <c r="F19" s="1" t="str">
        <f t="shared" si="0"/>
        <v>Proposal number: 1334147</v>
      </c>
      <c r="G19" t="s">
        <v>15</v>
      </c>
      <c r="H19" t="s">
        <v>6</v>
      </c>
      <c r="I19">
        <v>3.62</v>
      </c>
      <c r="J19">
        <v>4</v>
      </c>
      <c r="K19">
        <v>3.5</v>
      </c>
      <c r="L19">
        <v>3</v>
      </c>
      <c r="M19">
        <v>4</v>
      </c>
    </row>
    <row r="20" spans="1:13" x14ac:dyDescent="0.35">
      <c r="A20" t="s">
        <v>11</v>
      </c>
      <c r="B20" t="s">
        <v>50</v>
      </c>
      <c r="C20" t="s">
        <v>51</v>
      </c>
      <c r="D20" t="s">
        <v>14</v>
      </c>
      <c r="E20">
        <v>1333916</v>
      </c>
      <c r="F20" s="1" t="str">
        <f t="shared" si="0"/>
        <v>Proposal number: 1333916</v>
      </c>
      <c r="G20" t="s">
        <v>15</v>
      </c>
      <c r="H20" t="s">
        <v>6</v>
      </c>
      <c r="I20">
        <v>3.17</v>
      </c>
      <c r="J20">
        <v>3.33</v>
      </c>
      <c r="K20">
        <v>2.67</v>
      </c>
      <c r="L20">
        <v>3</v>
      </c>
      <c r="M20">
        <v>3.67</v>
      </c>
    </row>
    <row r="21" spans="1:13" x14ac:dyDescent="0.35">
      <c r="A21" t="s">
        <v>11</v>
      </c>
      <c r="B21" t="s">
        <v>52</v>
      </c>
      <c r="C21" t="s">
        <v>53</v>
      </c>
      <c r="D21" t="s">
        <v>14</v>
      </c>
      <c r="E21">
        <v>1334195</v>
      </c>
      <c r="F21" s="1" t="str">
        <f t="shared" si="0"/>
        <v>Proposal number: 1334195</v>
      </c>
      <c r="G21" t="s">
        <v>15</v>
      </c>
      <c r="H21" t="s">
        <v>6</v>
      </c>
      <c r="I21">
        <v>2</v>
      </c>
      <c r="J21">
        <v>1.5</v>
      </c>
      <c r="K21">
        <v>3</v>
      </c>
      <c r="L21">
        <v>1.5</v>
      </c>
      <c r="M21">
        <v>2</v>
      </c>
    </row>
    <row r="22" spans="1:13" x14ac:dyDescent="0.35">
      <c r="A22" t="s">
        <v>11</v>
      </c>
      <c r="B22" t="s">
        <v>54</v>
      </c>
      <c r="C22" t="s">
        <v>55</v>
      </c>
      <c r="D22" t="s">
        <v>14</v>
      </c>
      <c r="E22">
        <v>1334192</v>
      </c>
      <c r="F22" s="1" t="str">
        <f t="shared" si="0"/>
        <v>Proposal number: 1334192</v>
      </c>
      <c r="G22" t="s">
        <v>15</v>
      </c>
      <c r="H22" t="s">
        <v>6</v>
      </c>
      <c r="I22">
        <v>3.25</v>
      </c>
      <c r="J22">
        <v>3.5</v>
      </c>
      <c r="K22">
        <v>3</v>
      </c>
      <c r="L22">
        <v>3</v>
      </c>
      <c r="M22">
        <v>3.5</v>
      </c>
    </row>
    <row r="23" spans="1:13" x14ac:dyDescent="0.35">
      <c r="A23" t="s">
        <v>11</v>
      </c>
      <c r="B23" t="s">
        <v>56</v>
      </c>
      <c r="C23" t="s">
        <v>57</v>
      </c>
      <c r="D23" t="s">
        <v>14</v>
      </c>
      <c r="E23">
        <v>1334104</v>
      </c>
      <c r="F23" s="1" t="str">
        <f t="shared" si="0"/>
        <v>Proposal number: 1334104</v>
      </c>
      <c r="G23" t="s">
        <v>15</v>
      </c>
      <c r="H23" t="s">
        <v>6</v>
      </c>
      <c r="I23">
        <v>2.88</v>
      </c>
      <c r="J23">
        <v>2.5</v>
      </c>
      <c r="K23">
        <v>3.5</v>
      </c>
      <c r="L23">
        <v>3</v>
      </c>
      <c r="M23">
        <v>2.5</v>
      </c>
    </row>
    <row r="24" spans="1:13" x14ac:dyDescent="0.35">
      <c r="A24" t="s">
        <v>11</v>
      </c>
      <c r="B24" t="s">
        <v>58</v>
      </c>
      <c r="C24" t="s">
        <v>59</v>
      </c>
      <c r="D24" t="s">
        <v>14</v>
      </c>
      <c r="E24">
        <v>1333979</v>
      </c>
      <c r="F24" s="1" t="str">
        <f t="shared" si="0"/>
        <v>Proposal number: 1333979</v>
      </c>
      <c r="G24" t="s">
        <v>15</v>
      </c>
      <c r="H24" t="s">
        <v>6</v>
      </c>
      <c r="I24">
        <v>3</v>
      </c>
      <c r="J24">
        <v>2.67</v>
      </c>
      <c r="K24">
        <v>3</v>
      </c>
      <c r="L24">
        <v>3</v>
      </c>
      <c r="M24">
        <v>3.33</v>
      </c>
    </row>
    <row r="25" spans="1:13" x14ac:dyDescent="0.35">
      <c r="A25" t="s">
        <v>11</v>
      </c>
      <c r="B25" t="s">
        <v>60</v>
      </c>
      <c r="C25" t="s">
        <v>61</v>
      </c>
      <c r="D25" t="s">
        <v>14</v>
      </c>
      <c r="E25">
        <v>1334202</v>
      </c>
      <c r="F25" s="1" t="str">
        <f t="shared" si="0"/>
        <v>Proposal number: 1334202</v>
      </c>
      <c r="G25" t="s">
        <v>15</v>
      </c>
      <c r="H25" t="s">
        <v>6</v>
      </c>
      <c r="I25">
        <v>2.58</v>
      </c>
      <c r="J25">
        <v>2.33</v>
      </c>
      <c r="K25">
        <v>2.67</v>
      </c>
      <c r="L25">
        <v>3</v>
      </c>
      <c r="M25">
        <v>2.33</v>
      </c>
    </row>
    <row r="26" spans="1:13" x14ac:dyDescent="0.35">
      <c r="A26" t="s">
        <v>11</v>
      </c>
      <c r="B26" t="s">
        <v>62</v>
      </c>
      <c r="C26" t="s">
        <v>63</v>
      </c>
      <c r="D26" t="s">
        <v>14</v>
      </c>
      <c r="E26">
        <v>1333903</v>
      </c>
      <c r="F26" s="1" t="str">
        <f t="shared" si="0"/>
        <v>Proposal number: 1333903</v>
      </c>
      <c r="G26" t="s">
        <v>15</v>
      </c>
      <c r="H26" t="s">
        <v>6</v>
      </c>
      <c r="I26">
        <v>2.5</v>
      </c>
      <c r="J26">
        <v>2.5</v>
      </c>
      <c r="K26">
        <v>2.5</v>
      </c>
      <c r="L26">
        <v>3</v>
      </c>
      <c r="M26">
        <v>1</v>
      </c>
    </row>
    <row r="27" spans="1:13" x14ac:dyDescent="0.35">
      <c r="A27" t="s">
        <v>11</v>
      </c>
      <c r="B27" t="s">
        <v>64</v>
      </c>
      <c r="C27" t="s">
        <v>65</v>
      </c>
      <c r="D27" t="s">
        <v>14</v>
      </c>
      <c r="E27">
        <v>1333002</v>
      </c>
      <c r="F27" s="1" t="str">
        <f t="shared" si="0"/>
        <v>Proposal number: 1333002</v>
      </c>
      <c r="G27" t="s">
        <v>15</v>
      </c>
      <c r="H27" t="s">
        <v>6</v>
      </c>
      <c r="I27">
        <v>3.12</v>
      </c>
      <c r="J27">
        <v>2</v>
      </c>
      <c r="K27">
        <v>4</v>
      </c>
      <c r="L27">
        <v>3.5</v>
      </c>
      <c r="M27">
        <v>3</v>
      </c>
    </row>
    <row r="28" spans="1:13" x14ac:dyDescent="0.35">
      <c r="A28" t="s">
        <v>66</v>
      </c>
      <c r="B28" t="s">
        <v>67</v>
      </c>
      <c r="C28" t="s">
        <v>68</v>
      </c>
      <c r="D28" t="s">
        <v>14</v>
      </c>
      <c r="E28">
        <v>1333927</v>
      </c>
      <c r="F28" s="1" t="str">
        <f t="shared" si="0"/>
        <v>Proposal number: 1333927</v>
      </c>
      <c r="G28" t="s">
        <v>15</v>
      </c>
      <c r="H28" t="s">
        <v>6</v>
      </c>
      <c r="I28">
        <v>1.5</v>
      </c>
      <c r="J28">
        <v>2</v>
      </c>
      <c r="K28">
        <v>2</v>
      </c>
      <c r="L28">
        <v>1</v>
      </c>
      <c r="M28">
        <v>1</v>
      </c>
    </row>
    <row r="29" spans="1:13" x14ac:dyDescent="0.35">
      <c r="A29" t="s">
        <v>66</v>
      </c>
      <c r="B29" t="s">
        <v>69</v>
      </c>
      <c r="C29" t="s">
        <v>70</v>
      </c>
      <c r="D29" t="s">
        <v>14</v>
      </c>
      <c r="E29">
        <v>1333907</v>
      </c>
      <c r="F29" s="1" t="str">
        <f t="shared" si="0"/>
        <v>Proposal number: 1333907</v>
      </c>
      <c r="G29" t="s">
        <v>15</v>
      </c>
      <c r="H29" t="s">
        <v>6</v>
      </c>
      <c r="I29">
        <v>2.25</v>
      </c>
      <c r="J29">
        <v>2.5</v>
      </c>
      <c r="K29">
        <v>2.5</v>
      </c>
      <c r="L29">
        <v>2.5</v>
      </c>
      <c r="M29">
        <v>1.5</v>
      </c>
    </row>
    <row r="30" spans="1:13" x14ac:dyDescent="0.35">
      <c r="A30" t="s">
        <v>66</v>
      </c>
      <c r="B30" t="s">
        <v>71</v>
      </c>
      <c r="C30" t="s">
        <v>72</v>
      </c>
      <c r="D30" t="s">
        <v>14</v>
      </c>
      <c r="E30">
        <v>1334134</v>
      </c>
      <c r="F30" s="1" t="str">
        <f t="shared" si="0"/>
        <v>Proposal number: 1334134</v>
      </c>
      <c r="G30" t="s">
        <v>15</v>
      </c>
      <c r="H30" t="s">
        <v>6</v>
      </c>
      <c r="I30">
        <v>2.88</v>
      </c>
      <c r="J30">
        <v>3</v>
      </c>
      <c r="K30">
        <v>3</v>
      </c>
      <c r="L30">
        <v>2.5</v>
      </c>
      <c r="M30">
        <v>3</v>
      </c>
    </row>
    <row r="31" spans="1:13" x14ac:dyDescent="0.35">
      <c r="A31" t="s">
        <v>66</v>
      </c>
      <c r="B31" t="s">
        <v>73</v>
      </c>
      <c r="C31" t="s">
        <v>74</v>
      </c>
      <c r="D31" t="s">
        <v>14</v>
      </c>
      <c r="E31">
        <v>1334029</v>
      </c>
      <c r="F31" s="1" t="str">
        <f t="shared" si="0"/>
        <v>Proposal number: 1334029</v>
      </c>
      <c r="G31" t="s">
        <v>15</v>
      </c>
      <c r="H31" t="s">
        <v>6</v>
      </c>
      <c r="I31">
        <v>2.62</v>
      </c>
      <c r="J31">
        <v>2.5</v>
      </c>
      <c r="K31">
        <v>2</v>
      </c>
      <c r="L31">
        <v>3</v>
      </c>
      <c r="M31">
        <v>3</v>
      </c>
    </row>
    <row r="32" spans="1:13" x14ac:dyDescent="0.35">
      <c r="A32" t="s">
        <v>66</v>
      </c>
      <c r="B32" t="s">
        <v>75</v>
      </c>
      <c r="C32" t="s">
        <v>76</v>
      </c>
      <c r="D32" t="s">
        <v>14</v>
      </c>
      <c r="E32">
        <v>1333925</v>
      </c>
      <c r="F32" s="1" t="str">
        <f t="shared" si="0"/>
        <v>Proposal number: 1333925</v>
      </c>
      <c r="G32" t="s">
        <v>15</v>
      </c>
      <c r="H32" t="s">
        <v>6</v>
      </c>
      <c r="I32">
        <v>2.25</v>
      </c>
      <c r="J32">
        <v>2</v>
      </c>
      <c r="K32">
        <v>2</v>
      </c>
      <c r="L32">
        <v>3</v>
      </c>
      <c r="M32">
        <v>2</v>
      </c>
    </row>
    <row r="33" spans="1:13" x14ac:dyDescent="0.35">
      <c r="A33" t="s">
        <v>66</v>
      </c>
      <c r="B33" t="s">
        <v>77</v>
      </c>
      <c r="C33" t="s">
        <v>78</v>
      </c>
      <c r="D33" t="s">
        <v>14</v>
      </c>
      <c r="E33">
        <v>1334172</v>
      </c>
      <c r="F33" s="1" t="str">
        <f t="shared" si="0"/>
        <v>Proposal number: 1334172</v>
      </c>
      <c r="G33" t="s">
        <v>15</v>
      </c>
      <c r="H33" t="s">
        <v>6</v>
      </c>
      <c r="I33">
        <v>2.75</v>
      </c>
      <c r="J33">
        <v>3.5</v>
      </c>
      <c r="K33">
        <v>2</v>
      </c>
      <c r="L33">
        <v>3</v>
      </c>
      <c r="M33">
        <v>2.5</v>
      </c>
    </row>
    <row r="34" spans="1:13" x14ac:dyDescent="0.35">
      <c r="A34" t="s">
        <v>66</v>
      </c>
      <c r="B34" t="s">
        <v>79</v>
      </c>
      <c r="C34" t="s">
        <v>70</v>
      </c>
      <c r="D34" t="s">
        <v>14</v>
      </c>
      <c r="E34">
        <v>1334086</v>
      </c>
      <c r="F34" s="1" t="str">
        <f t="shared" si="0"/>
        <v>Proposal number: 1334086</v>
      </c>
      <c r="G34" t="s">
        <v>15</v>
      </c>
      <c r="H34" t="s">
        <v>6</v>
      </c>
      <c r="I34">
        <v>2.38</v>
      </c>
      <c r="J34">
        <v>2.5</v>
      </c>
      <c r="K34">
        <v>2.5</v>
      </c>
      <c r="L34">
        <v>2.5</v>
      </c>
      <c r="M34">
        <v>2</v>
      </c>
    </row>
    <row r="35" spans="1:13" x14ac:dyDescent="0.35">
      <c r="A35" t="s">
        <v>66</v>
      </c>
      <c r="B35" t="s">
        <v>80</v>
      </c>
      <c r="C35" t="s">
        <v>81</v>
      </c>
      <c r="D35" t="s">
        <v>14</v>
      </c>
      <c r="E35">
        <v>1334145</v>
      </c>
      <c r="F35" s="1" t="str">
        <f t="shared" si="0"/>
        <v>Proposal number: 1334145</v>
      </c>
      <c r="G35" t="s">
        <v>15</v>
      </c>
      <c r="H35" t="s">
        <v>6</v>
      </c>
      <c r="I35">
        <v>1</v>
      </c>
      <c r="J35">
        <v>1</v>
      </c>
      <c r="K35">
        <v>1</v>
      </c>
      <c r="L35">
        <v>1</v>
      </c>
      <c r="M35">
        <v>1</v>
      </c>
    </row>
    <row r="36" spans="1:13" x14ac:dyDescent="0.35">
      <c r="A36" t="s">
        <v>66</v>
      </c>
      <c r="B36" t="s">
        <v>82</v>
      </c>
      <c r="C36" t="s">
        <v>83</v>
      </c>
      <c r="D36" t="s">
        <v>14</v>
      </c>
      <c r="E36">
        <v>1334179</v>
      </c>
      <c r="F36" s="1" t="str">
        <f t="shared" si="0"/>
        <v>Proposal number: 1334179</v>
      </c>
      <c r="G36" t="s">
        <v>15</v>
      </c>
      <c r="H36" t="s">
        <v>6</v>
      </c>
      <c r="I36">
        <v>2.88</v>
      </c>
      <c r="J36">
        <v>3</v>
      </c>
      <c r="K36">
        <v>2</v>
      </c>
      <c r="L36">
        <v>3.5</v>
      </c>
      <c r="M36">
        <v>3</v>
      </c>
    </row>
    <row r="37" spans="1:13" x14ac:dyDescent="0.35">
      <c r="A37" t="s">
        <v>66</v>
      </c>
      <c r="B37" t="s">
        <v>84</v>
      </c>
      <c r="C37" t="s">
        <v>85</v>
      </c>
      <c r="D37" t="s">
        <v>14</v>
      </c>
      <c r="E37">
        <v>1333858</v>
      </c>
      <c r="F37" s="1" t="str">
        <f t="shared" si="0"/>
        <v>Proposal number: 1333858</v>
      </c>
      <c r="G37" t="s">
        <v>15</v>
      </c>
      <c r="H37" t="s">
        <v>6</v>
      </c>
      <c r="I37">
        <v>1.62</v>
      </c>
      <c r="J37">
        <v>1</v>
      </c>
      <c r="K37">
        <v>3.5</v>
      </c>
      <c r="L37">
        <v>1</v>
      </c>
      <c r="M37">
        <v>1</v>
      </c>
    </row>
    <row r="38" spans="1:13" x14ac:dyDescent="0.35">
      <c r="A38" t="s">
        <v>66</v>
      </c>
      <c r="B38" t="s">
        <v>86</v>
      </c>
      <c r="C38" t="s">
        <v>87</v>
      </c>
      <c r="D38" t="s">
        <v>14</v>
      </c>
      <c r="E38">
        <v>1334126</v>
      </c>
      <c r="F38" s="1" t="str">
        <f t="shared" si="0"/>
        <v>Proposal number: 1334126</v>
      </c>
      <c r="G38" t="s">
        <v>15</v>
      </c>
      <c r="H38" t="s">
        <v>6</v>
      </c>
      <c r="I38">
        <v>2.5</v>
      </c>
      <c r="J38">
        <v>2.5</v>
      </c>
      <c r="K38">
        <v>2.5</v>
      </c>
      <c r="L38">
        <v>3</v>
      </c>
      <c r="M38">
        <v>2</v>
      </c>
    </row>
    <row r="39" spans="1:13" x14ac:dyDescent="0.35">
      <c r="A39" t="s">
        <v>66</v>
      </c>
      <c r="B39" t="s">
        <v>88</v>
      </c>
      <c r="C39" t="s">
        <v>89</v>
      </c>
      <c r="D39" t="s">
        <v>14</v>
      </c>
      <c r="E39">
        <v>1333983</v>
      </c>
      <c r="F39" s="1" t="str">
        <f t="shared" si="0"/>
        <v>Proposal number: 1333983</v>
      </c>
      <c r="G39" t="s">
        <v>15</v>
      </c>
      <c r="H39" t="s">
        <v>6</v>
      </c>
      <c r="I39">
        <v>2.12</v>
      </c>
      <c r="J39">
        <v>3</v>
      </c>
      <c r="K39">
        <v>1.5</v>
      </c>
      <c r="L39">
        <v>2</v>
      </c>
      <c r="M39">
        <v>2</v>
      </c>
    </row>
    <row r="40" spans="1:13" x14ac:dyDescent="0.35">
      <c r="A40" t="s">
        <v>66</v>
      </c>
      <c r="B40" t="s">
        <v>90</v>
      </c>
      <c r="C40" t="s">
        <v>91</v>
      </c>
      <c r="D40" t="s">
        <v>14</v>
      </c>
      <c r="E40">
        <v>1334136</v>
      </c>
      <c r="F40" s="1" t="str">
        <f t="shared" si="0"/>
        <v>Proposal number: 1334136</v>
      </c>
      <c r="G40" t="s">
        <v>15</v>
      </c>
      <c r="H40" t="s">
        <v>6</v>
      </c>
      <c r="I40">
        <v>3</v>
      </c>
      <c r="J40">
        <v>2</v>
      </c>
      <c r="K40">
        <v>4</v>
      </c>
      <c r="L40">
        <v>4</v>
      </c>
      <c r="M40">
        <v>2</v>
      </c>
    </row>
    <row r="41" spans="1:13" x14ac:dyDescent="0.35">
      <c r="A41" t="s">
        <v>66</v>
      </c>
      <c r="B41" t="s">
        <v>92</v>
      </c>
      <c r="C41" t="s">
        <v>93</v>
      </c>
      <c r="D41" t="s">
        <v>14</v>
      </c>
      <c r="E41">
        <v>1334079</v>
      </c>
      <c r="F41" s="1" t="str">
        <f t="shared" si="0"/>
        <v>Proposal number: 1334079</v>
      </c>
      <c r="G41" t="s">
        <v>15</v>
      </c>
      <c r="H41" t="s">
        <v>6</v>
      </c>
      <c r="I41">
        <v>1.62</v>
      </c>
      <c r="J41">
        <v>2</v>
      </c>
      <c r="K41">
        <v>2.5</v>
      </c>
      <c r="L41">
        <v>1</v>
      </c>
      <c r="M41">
        <v>1</v>
      </c>
    </row>
    <row r="42" spans="1:13" x14ac:dyDescent="0.35">
      <c r="A42" t="s">
        <v>66</v>
      </c>
      <c r="B42" t="s">
        <v>94</v>
      </c>
      <c r="C42" t="s">
        <v>87</v>
      </c>
      <c r="D42" t="s">
        <v>14</v>
      </c>
      <c r="E42">
        <v>1334122</v>
      </c>
      <c r="F42" s="1" t="str">
        <f t="shared" si="0"/>
        <v>Proposal number: 1334122</v>
      </c>
      <c r="G42" t="s">
        <v>15</v>
      </c>
      <c r="H42" t="s">
        <v>6</v>
      </c>
      <c r="I42">
        <v>1.75</v>
      </c>
      <c r="J42">
        <v>2</v>
      </c>
      <c r="K42">
        <v>3</v>
      </c>
      <c r="L42">
        <v>1</v>
      </c>
      <c r="M42">
        <v>1</v>
      </c>
    </row>
    <row r="43" spans="1:13" x14ac:dyDescent="0.35">
      <c r="A43" t="s">
        <v>66</v>
      </c>
      <c r="B43" t="s">
        <v>95</v>
      </c>
      <c r="C43" t="s">
        <v>96</v>
      </c>
      <c r="D43" t="s">
        <v>14</v>
      </c>
      <c r="E43">
        <v>1334133</v>
      </c>
      <c r="F43" s="1" t="str">
        <f t="shared" si="0"/>
        <v>Proposal number: 1334133</v>
      </c>
      <c r="G43" t="s">
        <v>15</v>
      </c>
      <c r="H43" t="s">
        <v>6</v>
      </c>
      <c r="I43">
        <v>2</v>
      </c>
      <c r="J43">
        <v>1.5</v>
      </c>
      <c r="K43">
        <v>3</v>
      </c>
      <c r="L43">
        <v>2</v>
      </c>
      <c r="M43">
        <v>1.5</v>
      </c>
    </row>
    <row r="44" spans="1:13" x14ac:dyDescent="0.35">
      <c r="A44" t="s">
        <v>66</v>
      </c>
      <c r="B44" t="s">
        <v>97</v>
      </c>
      <c r="C44" t="s">
        <v>98</v>
      </c>
      <c r="D44" t="s">
        <v>14</v>
      </c>
      <c r="E44">
        <v>1334030</v>
      </c>
      <c r="F44" s="1" t="str">
        <f t="shared" si="0"/>
        <v>Proposal number: 1334030</v>
      </c>
      <c r="G44" t="s">
        <v>15</v>
      </c>
      <c r="H44" t="s">
        <v>6</v>
      </c>
      <c r="I44">
        <v>2.75</v>
      </c>
      <c r="J44">
        <v>3</v>
      </c>
      <c r="K44">
        <v>2</v>
      </c>
      <c r="L44">
        <v>3</v>
      </c>
      <c r="M44">
        <v>3</v>
      </c>
    </row>
    <row r="45" spans="1:13" x14ac:dyDescent="0.35">
      <c r="A45" t="s">
        <v>66</v>
      </c>
      <c r="B45" t="s">
        <v>99</v>
      </c>
      <c r="C45" t="s">
        <v>100</v>
      </c>
      <c r="D45" t="s">
        <v>14</v>
      </c>
      <c r="E45">
        <v>1334149</v>
      </c>
      <c r="F45" s="1" t="str">
        <f t="shared" si="0"/>
        <v>Proposal number: 1334149</v>
      </c>
      <c r="G45" t="s">
        <v>15</v>
      </c>
      <c r="H45" t="s">
        <v>6</v>
      </c>
      <c r="I45">
        <v>2.25</v>
      </c>
      <c r="J45">
        <v>2</v>
      </c>
      <c r="K45">
        <v>3</v>
      </c>
      <c r="L45">
        <v>2</v>
      </c>
      <c r="M45">
        <v>2</v>
      </c>
    </row>
    <row r="46" spans="1:13" x14ac:dyDescent="0.35">
      <c r="A46" t="s">
        <v>66</v>
      </c>
      <c r="B46" t="s">
        <v>101</v>
      </c>
      <c r="C46" t="s">
        <v>102</v>
      </c>
      <c r="D46" t="s">
        <v>14</v>
      </c>
      <c r="E46">
        <v>1333962</v>
      </c>
      <c r="F46" s="1" t="str">
        <f t="shared" si="0"/>
        <v>Proposal number: 1333962</v>
      </c>
      <c r="G46" t="s">
        <v>15</v>
      </c>
      <c r="H46" t="s">
        <v>6</v>
      </c>
      <c r="I46">
        <v>2</v>
      </c>
      <c r="J46">
        <v>2.5</v>
      </c>
      <c r="K46">
        <v>1.5</v>
      </c>
      <c r="L46">
        <v>2.5</v>
      </c>
      <c r="M46">
        <v>1.5</v>
      </c>
    </row>
    <row r="47" spans="1:13" x14ac:dyDescent="0.35">
      <c r="A47" t="s">
        <v>66</v>
      </c>
      <c r="B47" t="s">
        <v>103</v>
      </c>
      <c r="C47" t="s">
        <v>104</v>
      </c>
      <c r="D47" t="s">
        <v>14</v>
      </c>
      <c r="E47">
        <v>1334013</v>
      </c>
      <c r="F47" s="1" t="str">
        <f t="shared" si="0"/>
        <v>Proposal number: 1334013</v>
      </c>
      <c r="G47" t="s">
        <v>15</v>
      </c>
      <c r="H47" t="s">
        <v>6</v>
      </c>
      <c r="I47">
        <v>2.5</v>
      </c>
      <c r="J47">
        <v>2</v>
      </c>
      <c r="K47">
        <v>3</v>
      </c>
      <c r="L47">
        <v>3</v>
      </c>
      <c r="M47">
        <v>2</v>
      </c>
    </row>
    <row r="48" spans="1:13" x14ac:dyDescent="0.35">
      <c r="A48" t="s">
        <v>66</v>
      </c>
      <c r="B48" t="s">
        <v>105</v>
      </c>
      <c r="C48" t="s">
        <v>106</v>
      </c>
      <c r="D48" t="s">
        <v>14</v>
      </c>
      <c r="E48">
        <v>1334146</v>
      </c>
      <c r="F48" s="1" t="str">
        <f t="shared" si="0"/>
        <v>Proposal number: 1334146</v>
      </c>
      <c r="G48" t="s">
        <v>15</v>
      </c>
      <c r="H48" t="s">
        <v>6</v>
      </c>
      <c r="I48">
        <v>1.38</v>
      </c>
      <c r="J48">
        <v>2</v>
      </c>
      <c r="K48">
        <v>1.5</v>
      </c>
      <c r="L48">
        <v>1</v>
      </c>
      <c r="M48">
        <v>1</v>
      </c>
    </row>
    <row r="49" spans="1:13" x14ac:dyDescent="0.35">
      <c r="A49" t="s">
        <v>66</v>
      </c>
      <c r="B49" t="s">
        <v>107</v>
      </c>
      <c r="C49" t="s">
        <v>108</v>
      </c>
      <c r="D49" t="s">
        <v>14</v>
      </c>
      <c r="E49">
        <v>1334151</v>
      </c>
      <c r="F49" s="1" t="str">
        <f t="shared" si="0"/>
        <v>Proposal number: 1334151</v>
      </c>
      <c r="G49" t="s">
        <v>15</v>
      </c>
      <c r="H49" t="s">
        <v>6</v>
      </c>
      <c r="I49">
        <v>2.88</v>
      </c>
      <c r="J49">
        <v>3</v>
      </c>
      <c r="K49">
        <v>2.5</v>
      </c>
      <c r="L49">
        <v>4</v>
      </c>
      <c r="M49">
        <v>2</v>
      </c>
    </row>
    <row r="50" spans="1:13" x14ac:dyDescent="0.35">
      <c r="A50" t="s">
        <v>66</v>
      </c>
      <c r="B50" t="s">
        <v>109</v>
      </c>
      <c r="C50" t="s">
        <v>110</v>
      </c>
      <c r="D50" t="s">
        <v>14</v>
      </c>
      <c r="E50">
        <v>1334143</v>
      </c>
      <c r="F50" s="1" t="str">
        <f t="shared" si="0"/>
        <v>Proposal number: 1334143</v>
      </c>
      <c r="G50" t="s">
        <v>15</v>
      </c>
      <c r="H50" t="s">
        <v>6</v>
      </c>
      <c r="I50">
        <v>2.62</v>
      </c>
      <c r="J50">
        <v>2.5</v>
      </c>
      <c r="K50">
        <v>2.5</v>
      </c>
      <c r="L50">
        <v>2.5</v>
      </c>
      <c r="M50">
        <v>3</v>
      </c>
    </row>
    <row r="51" spans="1:13" x14ac:dyDescent="0.35">
      <c r="A51" t="s">
        <v>66</v>
      </c>
      <c r="B51" t="s">
        <v>111</v>
      </c>
      <c r="C51" t="s">
        <v>87</v>
      </c>
      <c r="D51" t="s">
        <v>14</v>
      </c>
      <c r="E51">
        <v>1334123</v>
      </c>
      <c r="F51" s="1" t="str">
        <f t="shared" si="0"/>
        <v>Proposal number: 1334123</v>
      </c>
      <c r="G51" t="s">
        <v>15</v>
      </c>
      <c r="H51" t="s">
        <v>6</v>
      </c>
      <c r="I51">
        <v>1.5</v>
      </c>
      <c r="J51">
        <v>2</v>
      </c>
      <c r="K51">
        <v>2</v>
      </c>
      <c r="L51">
        <v>1</v>
      </c>
      <c r="M51">
        <v>1</v>
      </c>
    </row>
    <row r="52" spans="1:13" x14ac:dyDescent="0.35">
      <c r="A52" t="s">
        <v>66</v>
      </c>
      <c r="B52" t="s">
        <v>112</v>
      </c>
      <c r="C52" t="s">
        <v>113</v>
      </c>
      <c r="D52" t="s">
        <v>14</v>
      </c>
      <c r="E52">
        <v>1334185</v>
      </c>
      <c r="F52" s="1" t="str">
        <f t="shared" si="0"/>
        <v>Proposal number: 1334185</v>
      </c>
      <c r="G52" t="s">
        <v>15</v>
      </c>
      <c r="H52" t="s">
        <v>6</v>
      </c>
      <c r="I52">
        <v>2.08</v>
      </c>
      <c r="J52">
        <v>2.33</v>
      </c>
      <c r="K52">
        <v>2.67</v>
      </c>
      <c r="L52">
        <v>1.67</v>
      </c>
      <c r="M52">
        <v>1.67</v>
      </c>
    </row>
    <row r="53" spans="1:13" x14ac:dyDescent="0.35">
      <c r="A53" t="s">
        <v>66</v>
      </c>
      <c r="B53" t="s">
        <v>114</v>
      </c>
      <c r="C53" t="s">
        <v>115</v>
      </c>
      <c r="D53" t="s">
        <v>14</v>
      </c>
      <c r="E53">
        <v>1334178</v>
      </c>
      <c r="F53" s="1" t="str">
        <f t="shared" si="0"/>
        <v>Proposal number: 1334178</v>
      </c>
      <c r="G53" t="s">
        <v>15</v>
      </c>
      <c r="H53" t="s">
        <v>6</v>
      </c>
      <c r="I53">
        <v>2.38</v>
      </c>
      <c r="J53">
        <v>3</v>
      </c>
      <c r="K53">
        <v>2.5</v>
      </c>
      <c r="L53">
        <v>1</v>
      </c>
      <c r="M53">
        <v>3</v>
      </c>
    </row>
    <row r="54" spans="1:13" x14ac:dyDescent="0.35">
      <c r="A54" t="s">
        <v>116</v>
      </c>
      <c r="B54" t="s">
        <v>117</v>
      </c>
      <c r="C54" t="s">
        <v>118</v>
      </c>
      <c r="D54" t="s">
        <v>14</v>
      </c>
      <c r="E54">
        <v>1333975</v>
      </c>
      <c r="F54" s="1" t="str">
        <f t="shared" si="0"/>
        <v>Proposal number: 1333975</v>
      </c>
      <c r="G54" t="s">
        <v>15</v>
      </c>
      <c r="H54" t="s">
        <v>6</v>
      </c>
      <c r="I54">
        <v>2</v>
      </c>
      <c r="J54">
        <v>2</v>
      </c>
      <c r="K54">
        <v>2.5</v>
      </c>
      <c r="L54">
        <v>2.5</v>
      </c>
      <c r="M54">
        <v>1</v>
      </c>
    </row>
    <row r="55" spans="1:13" x14ac:dyDescent="0.35">
      <c r="A55" t="s">
        <v>116</v>
      </c>
      <c r="B55" t="s">
        <v>119</v>
      </c>
      <c r="C55" t="s">
        <v>120</v>
      </c>
      <c r="D55" t="s">
        <v>14</v>
      </c>
      <c r="E55">
        <v>1333974</v>
      </c>
      <c r="F55" s="1" t="str">
        <f t="shared" si="0"/>
        <v>Proposal number: 1333974</v>
      </c>
      <c r="G55" t="s">
        <v>15</v>
      </c>
      <c r="H55" t="s">
        <v>6</v>
      </c>
      <c r="I55">
        <v>2.25</v>
      </c>
      <c r="J55">
        <v>2</v>
      </c>
      <c r="K55">
        <v>2</v>
      </c>
      <c r="L55">
        <v>2.5</v>
      </c>
      <c r="M55">
        <v>2.5</v>
      </c>
    </row>
    <row r="56" spans="1:13" x14ac:dyDescent="0.35">
      <c r="A56" t="s">
        <v>116</v>
      </c>
      <c r="B56" t="s">
        <v>121</v>
      </c>
      <c r="C56" t="s">
        <v>122</v>
      </c>
      <c r="D56" t="s">
        <v>14</v>
      </c>
      <c r="E56">
        <v>1334106</v>
      </c>
      <c r="F56" s="1" t="str">
        <f t="shared" si="0"/>
        <v>Proposal number: 1334106</v>
      </c>
      <c r="G56" t="s">
        <v>15</v>
      </c>
      <c r="H56" t="s">
        <v>6</v>
      </c>
      <c r="I56">
        <v>1.62</v>
      </c>
      <c r="J56">
        <v>1.5</v>
      </c>
      <c r="K56">
        <v>1.5</v>
      </c>
      <c r="L56">
        <v>2</v>
      </c>
      <c r="M56">
        <v>1.5</v>
      </c>
    </row>
    <row r="57" spans="1:13" x14ac:dyDescent="0.35">
      <c r="A57" t="s">
        <v>116</v>
      </c>
      <c r="B57" t="s">
        <v>123</v>
      </c>
      <c r="C57" t="s">
        <v>124</v>
      </c>
      <c r="D57" t="s">
        <v>14</v>
      </c>
      <c r="E57">
        <v>1334105</v>
      </c>
      <c r="F57" s="1" t="str">
        <f t="shared" si="0"/>
        <v>Proposal number: 1334105</v>
      </c>
      <c r="G57" t="s">
        <v>15</v>
      </c>
      <c r="H57" t="s">
        <v>6</v>
      </c>
      <c r="I57">
        <v>2.25</v>
      </c>
      <c r="J57">
        <v>2.5</v>
      </c>
      <c r="K57">
        <v>3</v>
      </c>
      <c r="L57">
        <v>2</v>
      </c>
      <c r="M57">
        <v>1.5</v>
      </c>
    </row>
    <row r="58" spans="1:13" x14ac:dyDescent="0.35">
      <c r="A58" t="s">
        <v>116</v>
      </c>
      <c r="B58" t="s">
        <v>125</v>
      </c>
      <c r="C58" t="s">
        <v>87</v>
      </c>
      <c r="D58" t="s">
        <v>14</v>
      </c>
      <c r="E58">
        <v>1334112</v>
      </c>
      <c r="F58" s="1" t="str">
        <f t="shared" si="0"/>
        <v>Proposal number: 1334112</v>
      </c>
      <c r="G58" t="s">
        <v>15</v>
      </c>
      <c r="H58" t="s">
        <v>6</v>
      </c>
      <c r="I58">
        <v>1.75</v>
      </c>
      <c r="J58">
        <v>1</v>
      </c>
      <c r="K58">
        <v>3</v>
      </c>
      <c r="L58">
        <v>2</v>
      </c>
      <c r="M58">
        <v>1</v>
      </c>
    </row>
    <row r="59" spans="1:13" x14ac:dyDescent="0.35">
      <c r="A59" t="s">
        <v>116</v>
      </c>
      <c r="B59" t="s">
        <v>126</v>
      </c>
      <c r="C59" t="s">
        <v>127</v>
      </c>
      <c r="D59" t="s">
        <v>14</v>
      </c>
      <c r="E59">
        <v>1333920</v>
      </c>
      <c r="F59" s="1" t="str">
        <f t="shared" si="0"/>
        <v>Proposal number: 1333920</v>
      </c>
      <c r="G59" t="s">
        <v>15</v>
      </c>
      <c r="H59" t="s">
        <v>6</v>
      </c>
      <c r="I59">
        <v>1.5</v>
      </c>
      <c r="J59">
        <v>2</v>
      </c>
      <c r="K59">
        <v>1.5</v>
      </c>
      <c r="L59">
        <v>1.5</v>
      </c>
      <c r="M59">
        <v>1</v>
      </c>
    </row>
    <row r="60" spans="1:13" x14ac:dyDescent="0.35">
      <c r="A60" t="s">
        <v>116</v>
      </c>
      <c r="B60" t="s">
        <v>128</v>
      </c>
      <c r="C60" t="s">
        <v>129</v>
      </c>
      <c r="D60" t="s">
        <v>14</v>
      </c>
      <c r="E60">
        <v>1334077</v>
      </c>
      <c r="F60" s="1" t="str">
        <f t="shared" si="0"/>
        <v>Proposal number: 1334077</v>
      </c>
      <c r="G60" t="s">
        <v>15</v>
      </c>
      <c r="H60" t="s">
        <v>6</v>
      </c>
      <c r="I60">
        <v>1.62</v>
      </c>
      <c r="J60">
        <v>2</v>
      </c>
      <c r="K60">
        <v>1.5</v>
      </c>
      <c r="L60">
        <v>1.5</v>
      </c>
      <c r="M60">
        <v>1.5</v>
      </c>
    </row>
    <row r="61" spans="1:13" x14ac:dyDescent="0.35">
      <c r="A61" t="s">
        <v>116</v>
      </c>
      <c r="B61" t="s">
        <v>130</v>
      </c>
      <c r="C61" t="s">
        <v>27</v>
      </c>
      <c r="D61" t="s">
        <v>14</v>
      </c>
      <c r="E61">
        <v>1333853</v>
      </c>
      <c r="F61" s="1" t="str">
        <f t="shared" si="0"/>
        <v>Proposal number: 1333853</v>
      </c>
      <c r="G61" t="s">
        <v>15</v>
      </c>
      <c r="H61" t="s">
        <v>6</v>
      </c>
      <c r="I61">
        <v>1.88</v>
      </c>
      <c r="J61">
        <v>1.5</v>
      </c>
      <c r="K61">
        <v>2.5</v>
      </c>
      <c r="L61">
        <v>2</v>
      </c>
      <c r="M61">
        <v>1.5</v>
      </c>
    </row>
    <row r="62" spans="1:13" x14ac:dyDescent="0.35">
      <c r="A62" t="s">
        <v>116</v>
      </c>
      <c r="B62" t="s">
        <v>131</v>
      </c>
      <c r="C62" t="s">
        <v>132</v>
      </c>
      <c r="D62" t="s">
        <v>14</v>
      </c>
      <c r="E62">
        <v>1333972</v>
      </c>
      <c r="F62" s="1" t="str">
        <f t="shared" si="0"/>
        <v>Proposal number: 1333972</v>
      </c>
      <c r="G62" t="s">
        <v>15</v>
      </c>
      <c r="H62" t="s">
        <v>6</v>
      </c>
      <c r="I62">
        <v>2.38</v>
      </c>
      <c r="J62">
        <v>2</v>
      </c>
      <c r="K62">
        <v>3.5</v>
      </c>
      <c r="L62">
        <v>2</v>
      </c>
      <c r="M62">
        <v>2</v>
      </c>
    </row>
    <row r="63" spans="1:13" x14ac:dyDescent="0.35">
      <c r="A63" t="s">
        <v>116</v>
      </c>
      <c r="B63" t="s">
        <v>133</v>
      </c>
      <c r="C63" t="s">
        <v>134</v>
      </c>
      <c r="D63" t="s">
        <v>14</v>
      </c>
      <c r="E63">
        <v>1334164</v>
      </c>
      <c r="F63" s="1" t="str">
        <f t="shared" si="0"/>
        <v>Proposal number: 1334164</v>
      </c>
      <c r="G63" t="s">
        <v>15</v>
      </c>
      <c r="H63" t="s">
        <v>6</v>
      </c>
      <c r="I63">
        <v>2</v>
      </c>
      <c r="J63">
        <v>2</v>
      </c>
      <c r="K63">
        <v>3</v>
      </c>
      <c r="L63">
        <v>1.5</v>
      </c>
      <c r="M63">
        <v>1.5</v>
      </c>
    </row>
    <row r="64" spans="1:13" x14ac:dyDescent="0.35">
      <c r="A64" t="s">
        <v>116</v>
      </c>
      <c r="B64" t="s">
        <v>135</v>
      </c>
      <c r="C64" t="s">
        <v>136</v>
      </c>
      <c r="D64" t="s">
        <v>14</v>
      </c>
      <c r="E64">
        <v>1334068</v>
      </c>
      <c r="F64" s="1" t="str">
        <f t="shared" si="0"/>
        <v>Proposal number: 1334068</v>
      </c>
      <c r="G64" t="s">
        <v>15</v>
      </c>
      <c r="H64" t="s">
        <v>6</v>
      </c>
      <c r="I64">
        <v>2.5</v>
      </c>
      <c r="J64">
        <v>3</v>
      </c>
      <c r="K64">
        <v>2.5</v>
      </c>
      <c r="L64">
        <v>3</v>
      </c>
      <c r="M64">
        <v>1.5</v>
      </c>
    </row>
    <row r="65" spans="1:13" x14ac:dyDescent="0.35">
      <c r="A65" t="s">
        <v>116</v>
      </c>
      <c r="B65" t="s">
        <v>137</v>
      </c>
      <c r="C65" t="s">
        <v>138</v>
      </c>
      <c r="D65" t="s">
        <v>14</v>
      </c>
      <c r="E65">
        <v>1334080</v>
      </c>
      <c r="F65" s="1" t="str">
        <f t="shared" si="0"/>
        <v>Proposal number: 1334080</v>
      </c>
      <c r="G65" t="s">
        <v>15</v>
      </c>
      <c r="H65" t="s">
        <v>6</v>
      </c>
      <c r="I65">
        <v>2.88</v>
      </c>
      <c r="J65">
        <v>3</v>
      </c>
      <c r="K65">
        <v>2.5</v>
      </c>
      <c r="L65">
        <v>3</v>
      </c>
      <c r="M65">
        <v>3</v>
      </c>
    </row>
    <row r="66" spans="1:13" x14ac:dyDescent="0.35">
      <c r="A66" t="s">
        <v>116</v>
      </c>
      <c r="B66" t="s">
        <v>139</v>
      </c>
      <c r="C66" t="s">
        <v>140</v>
      </c>
      <c r="D66" t="s">
        <v>14</v>
      </c>
      <c r="E66">
        <v>1334156</v>
      </c>
      <c r="F66" s="1" t="str">
        <f t="shared" si="0"/>
        <v>Proposal number: 1334156</v>
      </c>
      <c r="G66" t="s">
        <v>15</v>
      </c>
      <c r="H66" t="s">
        <v>6</v>
      </c>
      <c r="I66">
        <v>3</v>
      </c>
      <c r="J66">
        <v>3</v>
      </c>
      <c r="K66">
        <v>2</v>
      </c>
      <c r="L66">
        <v>4</v>
      </c>
      <c r="M66">
        <v>3</v>
      </c>
    </row>
    <row r="67" spans="1:13" x14ac:dyDescent="0.35">
      <c r="A67" t="s">
        <v>116</v>
      </c>
      <c r="B67" t="s">
        <v>141</v>
      </c>
      <c r="C67" t="s">
        <v>142</v>
      </c>
      <c r="D67" t="s">
        <v>14</v>
      </c>
      <c r="E67">
        <v>1333973</v>
      </c>
      <c r="F67" s="1" t="str">
        <f t="shared" ref="F67:F105" si="1">CONCATENATE(D67,E67)</f>
        <v>Proposal number: 1333973</v>
      </c>
      <c r="G67" t="s">
        <v>15</v>
      </c>
      <c r="H67" t="s">
        <v>6</v>
      </c>
      <c r="I67">
        <v>2.62</v>
      </c>
      <c r="J67">
        <v>2.5</v>
      </c>
      <c r="K67">
        <v>2</v>
      </c>
      <c r="L67">
        <v>3.5</v>
      </c>
      <c r="M67">
        <v>2.5</v>
      </c>
    </row>
    <row r="68" spans="1:13" x14ac:dyDescent="0.35">
      <c r="A68" t="s">
        <v>116</v>
      </c>
      <c r="B68" t="s">
        <v>143</v>
      </c>
      <c r="C68" t="s">
        <v>144</v>
      </c>
      <c r="D68" t="s">
        <v>14</v>
      </c>
      <c r="E68">
        <v>1333943</v>
      </c>
      <c r="F68" s="1" t="str">
        <f t="shared" si="1"/>
        <v>Proposal number: 1333943</v>
      </c>
      <c r="G68" t="s">
        <v>15</v>
      </c>
      <c r="H68" t="s">
        <v>6</v>
      </c>
      <c r="I68">
        <v>2.12</v>
      </c>
      <c r="J68">
        <v>2</v>
      </c>
      <c r="K68">
        <v>2</v>
      </c>
      <c r="L68">
        <v>2.5</v>
      </c>
      <c r="M68">
        <v>2</v>
      </c>
    </row>
    <row r="69" spans="1:13" x14ac:dyDescent="0.35">
      <c r="A69" t="s">
        <v>116</v>
      </c>
      <c r="B69" t="s">
        <v>145</v>
      </c>
      <c r="C69" t="s">
        <v>87</v>
      </c>
      <c r="D69" t="s">
        <v>14</v>
      </c>
      <c r="E69">
        <v>1334114</v>
      </c>
      <c r="F69" s="1" t="str">
        <f t="shared" si="1"/>
        <v>Proposal number: 1334114</v>
      </c>
      <c r="G69" t="s">
        <v>15</v>
      </c>
      <c r="H69" t="s">
        <v>6</v>
      </c>
      <c r="I69">
        <v>2.25</v>
      </c>
      <c r="J69">
        <v>2</v>
      </c>
      <c r="K69">
        <v>3.5</v>
      </c>
      <c r="L69">
        <v>2</v>
      </c>
      <c r="M69">
        <v>1.5</v>
      </c>
    </row>
    <row r="70" spans="1:13" x14ac:dyDescent="0.35">
      <c r="A70" t="s">
        <v>116</v>
      </c>
      <c r="B70" t="s">
        <v>146</v>
      </c>
      <c r="C70" t="s">
        <v>147</v>
      </c>
      <c r="D70" t="s">
        <v>14</v>
      </c>
      <c r="E70">
        <v>1333933</v>
      </c>
      <c r="F70" s="1" t="str">
        <f t="shared" si="1"/>
        <v>Proposal number: 1333933</v>
      </c>
      <c r="G70" t="s">
        <v>15</v>
      </c>
      <c r="H70" t="s">
        <v>6</v>
      </c>
      <c r="I70">
        <v>2.75</v>
      </c>
      <c r="J70">
        <v>2.5</v>
      </c>
      <c r="K70">
        <v>3</v>
      </c>
      <c r="L70">
        <v>2.5</v>
      </c>
      <c r="M70">
        <v>3</v>
      </c>
    </row>
    <row r="71" spans="1:13" x14ac:dyDescent="0.35">
      <c r="A71" t="s">
        <v>116</v>
      </c>
      <c r="B71" t="s">
        <v>148</v>
      </c>
      <c r="C71" t="s">
        <v>149</v>
      </c>
      <c r="D71" t="s">
        <v>14</v>
      </c>
      <c r="E71">
        <v>1333978</v>
      </c>
      <c r="F71" s="1" t="str">
        <f t="shared" si="1"/>
        <v>Proposal number: 1333978</v>
      </c>
      <c r="G71" t="s">
        <v>15</v>
      </c>
      <c r="H71" t="s">
        <v>6</v>
      </c>
      <c r="I71">
        <v>2.62</v>
      </c>
      <c r="J71">
        <v>3</v>
      </c>
      <c r="K71">
        <v>2</v>
      </c>
      <c r="L71">
        <v>3</v>
      </c>
      <c r="M71">
        <v>2.5</v>
      </c>
    </row>
    <row r="72" spans="1:13" x14ac:dyDescent="0.35">
      <c r="A72" t="s">
        <v>116</v>
      </c>
      <c r="B72" t="s">
        <v>150</v>
      </c>
      <c r="C72" t="s">
        <v>151</v>
      </c>
      <c r="D72" t="s">
        <v>14</v>
      </c>
      <c r="E72">
        <v>1334085</v>
      </c>
      <c r="F72" s="1" t="str">
        <f t="shared" si="1"/>
        <v>Proposal number: 1334085</v>
      </c>
      <c r="G72" t="s">
        <v>15</v>
      </c>
      <c r="H72" t="s">
        <v>6</v>
      </c>
      <c r="I72">
        <v>2.25</v>
      </c>
      <c r="J72">
        <v>2.5</v>
      </c>
      <c r="K72">
        <v>2</v>
      </c>
      <c r="L72">
        <v>3</v>
      </c>
      <c r="M72">
        <v>1.5</v>
      </c>
    </row>
    <row r="73" spans="1:13" x14ac:dyDescent="0.35">
      <c r="A73" t="s">
        <v>116</v>
      </c>
      <c r="B73" t="s">
        <v>152</v>
      </c>
      <c r="C73" t="s">
        <v>153</v>
      </c>
      <c r="D73" t="s">
        <v>14</v>
      </c>
      <c r="E73">
        <v>1334100</v>
      </c>
      <c r="F73" s="1" t="str">
        <f t="shared" si="1"/>
        <v>Proposal number: 1334100</v>
      </c>
      <c r="G73" t="s">
        <v>15</v>
      </c>
      <c r="H73" t="s">
        <v>6</v>
      </c>
      <c r="I73">
        <v>2.88</v>
      </c>
      <c r="J73">
        <v>3</v>
      </c>
      <c r="K73">
        <v>2</v>
      </c>
      <c r="L73">
        <v>3.5</v>
      </c>
      <c r="M73">
        <v>3</v>
      </c>
    </row>
    <row r="74" spans="1:13" x14ac:dyDescent="0.35">
      <c r="A74" t="s">
        <v>116</v>
      </c>
      <c r="B74" t="s">
        <v>154</v>
      </c>
      <c r="C74" t="s">
        <v>65</v>
      </c>
      <c r="D74" t="s">
        <v>14</v>
      </c>
      <c r="E74">
        <v>1333941</v>
      </c>
      <c r="F74" s="1" t="str">
        <f>CONCATENATE(D74,E74)</f>
        <v>Proposal number: 1333941</v>
      </c>
      <c r="G74" t="s">
        <v>15</v>
      </c>
      <c r="H74" t="s">
        <v>6</v>
      </c>
      <c r="I74">
        <v>3.25</v>
      </c>
      <c r="J74">
        <v>3</v>
      </c>
      <c r="K74">
        <v>3.5</v>
      </c>
      <c r="L74">
        <v>3</v>
      </c>
      <c r="M74">
        <v>3.5</v>
      </c>
    </row>
    <row r="75" spans="1:13" x14ac:dyDescent="0.35">
      <c r="A75" t="s">
        <v>116</v>
      </c>
      <c r="B75" t="s">
        <v>155</v>
      </c>
      <c r="C75" t="s">
        <v>156</v>
      </c>
      <c r="D75" t="s">
        <v>14</v>
      </c>
      <c r="E75">
        <v>1334101</v>
      </c>
      <c r="F75" s="1" t="str">
        <f t="shared" si="1"/>
        <v>Proposal number: 1334101</v>
      </c>
      <c r="G75" t="s">
        <v>15</v>
      </c>
      <c r="H75" t="s">
        <v>6</v>
      </c>
      <c r="I75">
        <v>3</v>
      </c>
      <c r="J75">
        <v>3.5</v>
      </c>
      <c r="K75">
        <v>2</v>
      </c>
      <c r="L75">
        <v>3.5</v>
      </c>
      <c r="M75">
        <v>3</v>
      </c>
    </row>
    <row r="76" spans="1:13" x14ac:dyDescent="0.35">
      <c r="A76" t="s">
        <v>116</v>
      </c>
      <c r="B76" t="s">
        <v>157</v>
      </c>
      <c r="C76" t="s">
        <v>158</v>
      </c>
      <c r="D76" t="s">
        <v>14</v>
      </c>
      <c r="E76">
        <v>1334071</v>
      </c>
      <c r="F76" s="1" t="str">
        <f t="shared" si="1"/>
        <v>Proposal number: 1334071</v>
      </c>
      <c r="G76" t="s">
        <v>15</v>
      </c>
      <c r="H76" t="s">
        <v>6</v>
      </c>
      <c r="I76">
        <v>3.38</v>
      </c>
      <c r="J76">
        <v>3.5</v>
      </c>
      <c r="K76">
        <v>3</v>
      </c>
      <c r="L76">
        <v>3</v>
      </c>
      <c r="M76">
        <v>4</v>
      </c>
    </row>
    <row r="77" spans="1:13" x14ac:dyDescent="0.35">
      <c r="A77" t="s">
        <v>116</v>
      </c>
      <c r="B77" t="s">
        <v>159</v>
      </c>
      <c r="C77" t="s">
        <v>132</v>
      </c>
      <c r="D77" t="s">
        <v>14</v>
      </c>
      <c r="E77">
        <v>1333971</v>
      </c>
      <c r="F77" s="1" t="str">
        <f t="shared" si="1"/>
        <v>Proposal number: 1333971</v>
      </c>
      <c r="G77" t="s">
        <v>15</v>
      </c>
      <c r="H77" t="s">
        <v>6</v>
      </c>
      <c r="I77">
        <v>3</v>
      </c>
      <c r="J77">
        <v>2.5</v>
      </c>
      <c r="K77">
        <v>3</v>
      </c>
      <c r="L77">
        <v>3.5</v>
      </c>
      <c r="M77">
        <v>3</v>
      </c>
    </row>
    <row r="78" spans="1:13" x14ac:dyDescent="0.35">
      <c r="A78" t="s">
        <v>116</v>
      </c>
      <c r="B78" t="s">
        <v>160</v>
      </c>
      <c r="C78" t="s">
        <v>59</v>
      </c>
      <c r="D78" t="s">
        <v>14</v>
      </c>
      <c r="E78">
        <v>1333980</v>
      </c>
      <c r="F78" s="1" t="str">
        <f t="shared" si="1"/>
        <v>Proposal number: 1333980</v>
      </c>
      <c r="G78" t="s">
        <v>15</v>
      </c>
      <c r="H78" t="s">
        <v>6</v>
      </c>
      <c r="I78">
        <v>3.25</v>
      </c>
      <c r="J78">
        <v>2.5</v>
      </c>
      <c r="K78">
        <v>4</v>
      </c>
      <c r="L78">
        <v>3.5</v>
      </c>
      <c r="M78">
        <v>3</v>
      </c>
    </row>
    <row r="79" spans="1:13" x14ac:dyDescent="0.35">
      <c r="A79" t="s">
        <v>116</v>
      </c>
      <c r="B79" t="s">
        <v>161</v>
      </c>
      <c r="C79" t="s">
        <v>162</v>
      </c>
      <c r="D79" t="s">
        <v>14</v>
      </c>
      <c r="E79">
        <v>1334138</v>
      </c>
      <c r="F79" s="1" t="str">
        <f t="shared" si="1"/>
        <v>Proposal number: 1334138</v>
      </c>
      <c r="G79" t="s">
        <v>15</v>
      </c>
      <c r="H79" t="s">
        <v>6</v>
      </c>
      <c r="I79">
        <v>2.88</v>
      </c>
      <c r="J79">
        <v>3</v>
      </c>
      <c r="K79">
        <v>3</v>
      </c>
      <c r="L79">
        <v>3.5</v>
      </c>
      <c r="M79">
        <v>2</v>
      </c>
    </row>
    <row r="80" spans="1:13" x14ac:dyDescent="0.35">
      <c r="A80" t="s">
        <v>163</v>
      </c>
      <c r="B80" t="s">
        <v>164</v>
      </c>
      <c r="C80" t="s">
        <v>165</v>
      </c>
      <c r="D80" t="s">
        <v>14</v>
      </c>
      <c r="E80">
        <v>1334034</v>
      </c>
      <c r="F80" s="1" t="str">
        <f t="shared" si="1"/>
        <v>Proposal number: 1334034</v>
      </c>
      <c r="G80" t="s">
        <v>15</v>
      </c>
      <c r="H80" t="s">
        <v>6</v>
      </c>
      <c r="I80">
        <v>1.75</v>
      </c>
      <c r="J80">
        <v>2</v>
      </c>
      <c r="K80">
        <v>2</v>
      </c>
      <c r="L80">
        <v>1.5</v>
      </c>
      <c r="M80">
        <v>1.5</v>
      </c>
    </row>
    <row r="81" spans="1:13" x14ac:dyDescent="0.35">
      <c r="A81" t="s">
        <v>163</v>
      </c>
      <c r="B81" t="s">
        <v>166</v>
      </c>
      <c r="C81" t="s">
        <v>167</v>
      </c>
      <c r="D81" t="s">
        <v>14</v>
      </c>
      <c r="E81">
        <v>1334052</v>
      </c>
      <c r="F81" s="1" t="str">
        <f t="shared" si="1"/>
        <v>Proposal number: 1334052</v>
      </c>
      <c r="G81" t="s">
        <v>15</v>
      </c>
      <c r="H81" t="s">
        <v>6</v>
      </c>
      <c r="I81">
        <v>1.62</v>
      </c>
      <c r="J81">
        <v>2</v>
      </c>
      <c r="K81">
        <v>2</v>
      </c>
      <c r="L81">
        <v>1</v>
      </c>
      <c r="M81">
        <v>1.5</v>
      </c>
    </row>
    <row r="82" spans="1:13" x14ac:dyDescent="0.35">
      <c r="A82" t="s">
        <v>163</v>
      </c>
      <c r="B82" t="s">
        <v>168</v>
      </c>
      <c r="C82" t="s">
        <v>169</v>
      </c>
      <c r="D82" t="s">
        <v>14</v>
      </c>
      <c r="E82">
        <v>1333877</v>
      </c>
      <c r="F82" s="1" t="str">
        <f t="shared" si="1"/>
        <v>Proposal number: 1333877</v>
      </c>
      <c r="G82" t="s">
        <v>15</v>
      </c>
      <c r="H82" t="s">
        <v>6</v>
      </c>
      <c r="I82">
        <v>2.38</v>
      </c>
      <c r="J82">
        <v>2.5</v>
      </c>
      <c r="K82">
        <v>2</v>
      </c>
      <c r="L82">
        <v>2.5</v>
      </c>
      <c r="M82">
        <v>2.5</v>
      </c>
    </row>
    <row r="83" spans="1:13" x14ac:dyDescent="0.35">
      <c r="A83" t="s">
        <v>163</v>
      </c>
      <c r="B83" t="s">
        <v>170</v>
      </c>
      <c r="C83" t="s">
        <v>171</v>
      </c>
      <c r="D83" t="s">
        <v>14</v>
      </c>
      <c r="E83">
        <v>1333932</v>
      </c>
      <c r="F83" s="1" t="str">
        <f t="shared" si="1"/>
        <v>Proposal number: 1333932</v>
      </c>
      <c r="G83" t="s">
        <v>15</v>
      </c>
      <c r="H83" t="s">
        <v>6</v>
      </c>
      <c r="I83">
        <v>2</v>
      </c>
      <c r="J83">
        <v>2.5</v>
      </c>
      <c r="K83">
        <v>2</v>
      </c>
      <c r="L83">
        <v>2</v>
      </c>
      <c r="M83">
        <v>1.5</v>
      </c>
    </row>
    <row r="84" spans="1:13" x14ac:dyDescent="0.35">
      <c r="A84" t="s">
        <v>163</v>
      </c>
      <c r="B84" t="s">
        <v>172</v>
      </c>
      <c r="C84" t="s">
        <v>173</v>
      </c>
      <c r="D84" t="s">
        <v>14</v>
      </c>
      <c r="E84">
        <v>1334127</v>
      </c>
      <c r="F84" s="1" t="str">
        <f t="shared" si="1"/>
        <v>Proposal number: 1334127</v>
      </c>
      <c r="G84" t="s">
        <v>15</v>
      </c>
      <c r="H84" t="s">
        <v>6</v>
      </c>
      <c r="I84">
        <v>2.5</v>
      </c>
      <c r="J84">
        <v>3</v>
      </c>
      <c r="K84">
        <v>2</v>
      </c>
      <c r="L84">
        <v>2</v>
      </c>
      <c r="M84">
        <v>3</v>
      </c>
    </row>
    <row r="85" spans="1:13" x14ac:dyDescent="0.35">
      <c r="A85" t="s">
        <v>163</v>
      </c>
      <c r="B85" t="s">
        <v>174</v>
      </c>
      <c r="C85" t="s">
        <v>175</v>
      </c>
      <c r="D85" t="s">
        <v>14</v>
      </c>
      <c r="E85">
        <v>1334140</v>
      </c>
      <c r="F85" s="1" t="str">
        <f t="shared" si="1"/>
        <v>Proposal number: 1334140</v>
      </c>
      <c r="G85" t="s">
        <v>15</v>
      </c>
      <c r="H85" t="s">
        <v>6</v>
      </c>
      <c r="I85">
        <v>2.38</v>
      </c>
      <c r="J85">
        <v>3</v>
      </c>
      <c r="K85">
        <v>1.5</v>
      </c>
      <c r="L85">
        <v>2.5</v>
      </c>
      <c r="M85">
        <v>2.5</v>
      </c>
    </row>
    <row r="86" spans="1:13" x14ac:dyDescent="0.35">
      <c r="A86" t="s">
        <v>163</v>
      </c>
      <c r="B86" t="s">
        <v>176</v>
      </c>
      <c r="C86" t="s">
        <v>177</v>
      </c>
      <c r="D86" t="s">
        <v>14</v>
      </c>
      <c r="E86">
        <v>1333989</v>
      </c>
      <c r="F86" s="1" t="str">
        <f t="shared" si="1"/>
        <v>Proposal number: 1333989</v>
      </c>
      <c r="G86" t="s">
        <v>15</v>
      </c>
      <c r="H86" t="s">
        <v>6</v>
      </c>
      <c r="I86">
        <v>2.25</v>
      </c>
      <c r="J86">
        <v>2</v>
      </c>
      <c r="K86">
        <v>4</v>
      </c>
      <c r="L86">
        <v>1</v>
      </c>
      <c r="M86">
        <v>2</v>
      </c>
    </row>
    <row r="87" spans="1:13" x14ac:dyDescent="0.35">
      <c r="A87" t="s">
        <v>163</v>
      </c>
      <c r="B87" t="s">
        <v>178</v>
      </c>
      <c r="C87" t="s">
        <v>179</v>
      </c>
      <c r="D87" t="s">
        <v>14</v>
      </c>
      <c r="E87">
        <v>1333992</v>
      </c>
      <c r="F87" s="1" t="str">
        <f t="shared" si="1"/>
        <v>Proposal number: 1333992</v>
      </c>
      <c r="G87" t="s">
        <v>15</v>
      </c>
      <c r="H87" t="s">
        <v>6</v>
      </c>
      <c r="I87">
        <v>2.25</v>
      </c>
      <c r="J87">
        <v>3</v>
      </c>
      <c r="K87">
        <v>2</v>
      </c>
      <c r="L87">
        <v>3</v>
      </c>
      <c r="M87">
        <v>1</v>
      </c>
    </row>
    <row r="88" spans="1:13" x14ac:dyDescent="0.35">
      <c r="A88" t="s">
        <v>163</v>
      </c>
      <c r="B88" t="s">
        <v>180</v>
      </c>
      <c r="C88" t="s">
        <v>181</v>
      </c>
      <c r="D88" t="s">
        <v>14</v>
      </c>
      <c r="E88">
        <v>1333991</v>
      </c>
      <c r="F88" s="1" t="str">
        <f t="shared" si="1"/>
        <v>Proposal number: 1333991</v>
      </c>
      <c r="G88" t="s">
        <v>15</v>
      </c>
      <c r="H88" t="s">
        <v>6</v>
      </c>
      <c r="I88">
        <v>2</v>
      </c>
      <c r="J88">
        <v>2</v>
      </c>
      <c r="K88">
        <v>3</v>
      </c>
      <c r="L88">
        <v>1</v>
      </c>
      <c r="M88">
        <v>2</v>
      </c>
    </row>
    <row r="89" spans="1:13" x14ac:dyDescent="0.35">
      <c r="A89" t="s">
        <v>163</v>
      </c>
      <c r="B89" t="s">
        <v>182</v>
      </c>
      <c r="C89" t="s">
        <v>183</v>
      </c>
      <c r="D89" t="s">
        <v>14</v>
      </c>
      <c r="E89">
        <v>1334163</v>
      </c>
      <c r="F89" s="1" t="str">
        <f t="shared" si="1"/>
        <v>Proposal number: 1334163</v>
      </c>
      <c r="G89" t="s">
        <v>15</v>
      </c>
      <c r="H89" t="s">
        <v>6</v>
      </c>
      <c r="I89">
        <v>2.62</v>
      </c>
      <c r="J89">
        <v>3.5</v>
      </c>
      <c r="K89">
        <v>2.5</v>
      </c>
      <c r="L89">
        <v>2</v>
      </c>
      <c r="M89">
        <v>2.5</v>
      </c>
    </row>
    <row r="90" spans="1:13" x14ac:dyDescent="0.35">
      <c r="A90" t="s">
        <v>163</v>
      </c>
      <c r="B90" t="s">
        <v>184</v>
      </c>
      <c r="C90" t="s">
        <v>185</v>
      </c>
      <c r="D90" t="s">
        <v>14</v>
      </c>
      <c r="E90">
        <v>1334007</v>
      </c>
      <c r="F90" s="1" t="str">
        <f t="shared" si="1"/>
        <v>Proposal number: 1334007</v>
      </c>
      <c r="G90" t="s">
        <v>15</v>
      </c>
      <c r="H90" t="s">
        <v>6</v>
      </c>
      <c r="I90">
        <v>2.12</v>
      </c>
      <c r="J90">
        <v>2.5</v>
      </c>
      <c r="K90">
        <v>2.5</v>
      </c>
      <c r="L90">
        <v>2</v>
      </c>
      <c r="M90">
        <v>1.5</v>
      </c>
    </row>
    <row r="91" spans="1:13" x14ac:dyDescent="0.35">
      <c r="A91" t="s">
        <v>163</v>
      </c>
      <c r="B91" t="s">
        <v>186</v>
      </c>
      <c r="C91" t="s">
        <v>187</v>
      </c>
      <c r="D91" t="s">
        <v>14</v>
      </c>
      <c r="E91">
        <v>1334060</v>
      </c>
      <c r="F91" s="1" t="str">
        <f t="shared" si="1"/>
        <v>Proposal number: 1334060</v>
      </c>
      <c r="G91" t="s">
        <v>15</v>
      </c>
      <c r="H91" t="s">
        <v>6</v>
      </c>
      <c r="I91">
        <v>2.25</v>
      </c>
      <c r="J91">
        <v>2.5</v>
      </c>
      <c r="K91">
        <v>1.5</v>
      </c>
      <c r="L91">
        <v>2.5</v>
      </c>
      <c r="M91">
        <v>2.5</v>
      </c>
    </row>
    <row r="92" spans="1:13" x14ac:dyDescent="0.35">
      <c r="A92" t="s">
        <v>163</v>
      </c>
      <c r="B92" t="s">
        <v>188</v>
      </c>
      <c r="C92" t="s">
        <v>189</v>
      </c>
      <c r="D92" t="s">
        <v>14</v>
      </c>
      <c r="E92">
        <v>1334117</v>
      </c>
      <c r="F92" s="1" t="str">
        <f t="shared" si="1"/>
        <v>Proposal number: 1334117</v>
      </c>
      <c r="G92" t="s">
        <v>15</v>
      </c>
      <c r="H92" t="s">
        <v>6</v>
      </c>
      <c r="I92">
        <v>2.38</v>
      </c>
      <c r="J92">
        <v>2.5</v>
      </c>
      <c r="K92">
        <v>2</v>
      </c>
      <c r="L92">
        <v>2.5</v>
      </c>
      <c r="M92">
        <v>2.5</v>
      </c>
    </row>
    <row r="93" spans="1:13" x14ac:dyDescent="0.35">
      <c r="A93" t="s">
        <v>163</v>
      </c>
      <c r="B93" t="s">
        <v>190</v>
      </c>
      <c r="C93" t="s">
        <v>191</v>
      </c>
      <c r="D93" t="s">
        <v>14</v>
      </c>
      <c r="E93">
        <v>1334168</v>
      </c>
      <c r="F93" s="1" t="str">
        <f t="shared" si="1"/>
        <v>Proposal number: 1334168</v>
      </c>
      <c r="G93" t="s">
        <v>15</v>
      </c>
      <c r="H93" t="s">
        <v>6</v>
      </c>
      <c r="I93">
        <v>2.25</v>
      </c>
      <c r="J93">
        <v>3</v>
      </c>
      <c r="K93">
        <v>2</v>
      </c>
      <c r="L93">
        <v>2</v>
      </c>
      <c r="M93">
        <v>2</v>
      </c>
    </row>
    <row r="94" spans="1:13" x14ac:dyDescent="0.35">
      <c r="A94" t="s">
        <v>163</v>
      </c>
      <c r="B94" t="s">
        <v>192</v>
      </c>
      <c r="C94" t="s">
        <v>193</v>
      </c>
      <c r="D94" t="s">
        <v>14</v>
      </c>
      <c r="E94">
        <v>1334150</v>
      </c>
      <c r="F94" s="1" t="str">
        <f t="shared" si="1"/>
        <v>Proposal number: 1334150</v>
      </c>
      <c r="G94" t="s">
        <v>15</v>
      </c>
      <c r="H94" t="s">
        <v>6</v>
      </c>
      <c r="I94">
        <v>1.88</v>
      </c>
      <c r="J94">
        <v>2.5</v>
      </c>
      <c r="K94">
        <v>2</v>
      </c>
      <c r="L94">
        <v>1</v>
      </c>
      <c r="M94">
        <v>2</v>
      </c>
    </row>
    <row r="95" spans="1:13" x14ac:dyDescent="0.35">
      <c r="A95" t="s">
        <v>163</v>
      </c>
      <c r="B95" t="s">
        <v>194</v>
      </c>
      <c r="C95" t="s">
        <v>195</v>
      </c>
      <c r="D95" t="s">
        <v>14</v>
      </c>
      <c r="E95">
        <v>1333926</v>
      </c>
      <c r="F95" s="1" t="str">
        <f t="shared" si="1"/>
        <v>Proposal number: 1333926</v>
      </c>
      <c r="G95" t="s">
        <v>15</v>
      </c>
      <c r="H95" t="s">
        <v>6</v>
      </c>
      <c r="I95">
        <v>2.25</v>
      </c>
      <c r="J95">
        <v>2.5</v>
      </c>
      <c r="K95">
        <v>1.5</v>
      </c>
      <c r="L95">
        <v>2.5</v>
      </c>
      <c r="M95">
        <v>2.5</v>
      </c>
    </row>
    <row r="96" spans="1:13" x14ac:dyDescent="0.35">
      <c r="A96" t="s">
        <v>163</v>
      </c>
      <c r="B96" t="s">
        <v>196</v>
      </c>
      <c r="C96" t="s">
        <v>197</v>
      </c>
      <c r="D96" t="s">
        <v>14</v>
      </c>
      <c r="E96">
        <v>1334083</v>
      </c>
      <c r="F96" s="1" t="str">
        <f t="shared" si="1"/>
        <v>Proposal number: 1334083</v>
      </c>
      <c r="G96" t="s">
        <v>15</v>
      </c>
      <c r="H96" t="s">
        <v>6</v>
      </c>
      <c r="I96">
        <v>2.75</v>
      </c>
      <c r="J96">
        <v>3.67</v>
      </c>
      <c r="K96">
        <v>2.33</v>
      </c>
      <c r="L96">
        <v>2.33</v>
      </c>
      <c r="M96">
        <v>2.67</v>
      </c>
    </row>
    <row r="97" spans="1:13" x14ac:dyDescent="0.35">
      <c r="A97" t="s">
        <v>163</v>
      </c>
      <c r="B97" t="s">
        <v>198</v>
      </c>
      <c r="C97" t="s">
        <v>199</v>
      </c>
      <c r="D97" t="s">
        <v>14</v>
      </c>
      <c r="E97">
        <v>1333931</v>
      </c>
      <c r="F97" s="1" t="str">
        <f t="shared" si="1"/>
        <v>Proposal number: 1333931</v>
      </c>
      <c r="G97" t="s">
        <v>15</v>
      </c>
      <c r="H97" t="s">
        <v>6</v>
      </c>
      <c r="I97">
        <v>3.75</v>
      </c>
      <c r="J97">
        <v>4</v>
      </c>
      <c r="K97">
        <v>3</v>
      </c>
      <c r="L97">
        <v>4</v>
      </c>
      <c r="M97">
        <v>4</v>
      </c>
    </row>
    <row r="98" spans="1:13" x14ac:dyDescent="0.35">
      <c r="A98" t="s">
        <v>163</v>
      </c>
      <c r="B98" t="s">
        <v>200</v>
      </c>
      <c r="C98" t="s">
        <v>201</v>
      </c>
      <c r="D98" t="s">
        <v>14</v>
      </c>
      <c r="E98">
        <v>1334037</v>
      </c>
      <c r="F98" s="1" t="str">
        <f t="shared" si="1"/>
        <v>Proposal number: 1334037</v>
      </c>
      <c r="G98" t="s">
        <v>15</v>
      </c>
      <c r="H98" t="s">
        <v>6</v>
      </c>
      <c r="I98">
        <v>3.25</v>
      </c>
      <c r="J98">
        <v>4</v>
      </c>
      <c r="K98">
        <v>3</v>
      </c>
      <c r="L98">
        <v>2</v>
      </c>
      <c r="M98">
        <v>4</v>
      </c>
    </row>
    <row r="99" spans="1:13" x14ac:dyDescent="0.35">
      <c r="A99" t="s">
        <v>163</v>
      </c>
      <c r="B99" t="s">
        <v>202</v>
      </c>
      <c r="C99" t="s">
        <v>203</v>
      </c>
      <c r="D99" t="s">
        <v>14</v>
      </c>
      <c r="E99">
        <v>1334070</v>
      </c>
      <c r="F99" s="1" t="str">
        <f t="shared" si="1"/>
        <v>Proposal number: 1334070</v>
      </c>
      <c r="G99" t="s">
        <v>15</v>
      </c>
      <c r="H99" t="s">
        <v>6</v>
      </c>
      <c r="I99">
        <v>3.25</v>
      </c>
      <c r="J99">
        <v>4</v>
      </c>
      <c r="K99">
        <v>3</v>
      </c>
      <c r="L99">
        <v>3</v>
      </c>
      <c r="M99">
        <v>3</v>
      </c>
    </row>
    <row r="100" spans="1:13" x14ac:dyDescent="0.35">
      <c r="A100" t="s">
        <v>163</v>
      </c>
      <c r="B100" t="s">
        <v>204</v>
      </c>
      <c r="C100" t="s">
        <v>205</v>
      </c>
      <c r="D100" t="s">
        <v>14</v>
      </c>
      <c r="E100">
        <v>1333957</v>
      </c>
      <c r="F100" s="1" t="str">
        <f t="shared" si="1"/>
        <v>Proposal number: 1333957</v>
      </c>
      <c r="G100" t="s">
        <v>15</v>
      </c>
      <c r="H100" t="s">
        <v>6</v>
      </c>
      <c r="I100">
        <v>2.5</v>
      </c>
      <c r="J100">
        <v>2</v>
      </c>
      <c r="K100">
        <v>3.5</v>
      </c>
      <c r="L100">
        <v>2.5</v>
      </c>
      <c r="M100">
        <v>2</v>
      </c>
    </row>
    <row r="101" spans="1:13" x14ac:dyDescent="0.35">
      <c r="A101" t="s">
        <v>163</v>
      </c>
      <c r="B101" t="s">
        <v>206</v>
      </c>
      <c r="C101" t="s">
        <v>207</v>
      </c>
      <c r="D101" t="s">
        <v>14</v>
      </c>
      <c r="E101">
        <v>1334158</v>
      </c>
      <c r="F101" s="1" t="str">
        <f t="shared" si="1"/>
        <v>Proposal number: 1334158</v>
      </c>
      <c r="G101" t="s">
        <v>15</v>
      </c>
      <c r="H101" t="s">
        <v>6</v>
      </c>
      <c r="I101">
        <v>3.12</v>
      </c>
      <c r="J101">
        <v>3</v>
      </c>
      <c r="K101">
        <v>2.5</v>
      </c>
      <c r="L101">
        <v>3.5</v>
      </c>
      <c r="M101">
        <v>3.5</v>
      </c>
    </row>
    <row r="102" spans="1:13" x14ac:dyDescent="0.35">
      <c r="A102" t="s">
        <v>163</v>
      </c>
      <c r="B102" t="s">
        <v>208</v>
      </c>
      <c r="C102" t="s">
        <v>209</v>
      </c>
      <c r="D102" t="s">
        <v>14</v>
      </c>
      <c r="E102">
        <v>1333999</v>
      </c>
      <c r="F102" s="1" t="str">
        <f t="shared" si="1"/>
        <v>Proposal number: 1333999</v>
      </c>
      <c r="G102" t="s">
        <v>15</v>
      </c>
      <c r="H102" t="s">
        <v>6</v>
      </c>
      <c r="I102">
        <v>2.62</v>
      </c>
      <c r="J102">
        <v>2.5</v>
      </c>
      <c r="K102">
        <v>2.5</v>
      </c>
      <c r="L102">
        <v>3</v>
      </c>
      <c r="M102">
        <v>2.5</v>
      </c>
    </row>
    <row r="103" spans="1:13" x14ac:dyDescent="0.35">
      <c r="A103" t="s">
        <v>163</v>
      </c>
      <c r="B103" t="s">
        <v>210</v>
      </c>
      <c r="C103" t="s">
        <v>211</v>
      </c>
      <c r="D103" t="s">
        <v>14</v>
      </c>
      <c r="E103">
        <v>1334174</v>
      </c>
      <c r="F103" s="1" t="str">
        <f t="shared" si="1"/>
        <v>Proposal number: 1334174</v>
      </c>
      <c r="G103" t="s">
        <v>15</v>
      </c>
      <c r="H103" t="s">
        <v>6</v>
      </c>
      <c r="I103">
        <v>2.88</v>
      </c>
      <c r="J103">
        <v>3</v>
      </c>
      <c r="K103">
        <v>2.5</v>
      </c>
      <c r="L103">
        <v>3</v>
      </c>
      <c r="M103">
        <v>3</v>
      </c>
    </row>
    <row r="104" spans="1:13" x14ac:dyDescent="0.35">
      <c r="A104" t="s">
        <v>163</v>
      </c>
      <c r="B104" t="s">
        <v>212</v>
      </c>
      <c r="C104" t="s">
        <v>213</v>
      </c>
      <c r="D104" t="s">
        <v>14</v>
      </c>
      <c r="E104">
        <v>1334135</v>
      </c>
      <c r="F104" s="1" t="str">
        <f t="shared" si="1"/>
        <v>Proposal number: 1334135</v>
      </c>
      <c r="G104" t="s">
        <v>15</v>
      </c>
      <c r="H104" t="s">
        <v>6</v>
      </c>
      <c r="I104">
        <v>2.5</v>
      </c>
      <c r="J104">
        <v>2.5</v>
      </c>
      <c r="K104">
        <v>2.5</v>
      </c>
      <c r="L104">
        <v>2.5</v>
      </c>
      <c r="M104">
        <v>2.5</v>
      </c>
    </row>
    <row r="105" spans="1:13" x14ac:dyDescent="0.35">
      <c r="A105" t="s">
        <v>163</v>
      </c>
      <c r="B105" t="s">
        <v>214</v>
      </c>
      <c r="C105" t="s">
        <v>215</v>
      </c>
      <c r="D105" t="s">
        <v>14</v>
      </c>
      <c r="E105">
        <v>1334097</v>
      </c>
      <c r="F105" s="1" t="str">
        <f t="shared" si="1"/>
        <v>Proposal number: 1334097</v>
      </c>
      <c r="G105" t="s">
        <v>15</v>
      </c>
      <c r="H105" t="s">
        <v>6</v>
      </c>
      <c r="I105">
        <v>2.88</v>
      </c>
      <c r="J105">
        <v>3</v>
      </c>
      <c r="K105">
        <v>2.5</v>
      </c>
      <c r="L105">
        <v>3</v>
      </c>
      <c r="M105">
        <v>3</v>
      </c>
    </row>
  </sheetData>
  <autoFilter ref="A1:M1" xr:uid="{794726C0-772F-4473-958F-852844377270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Probost, Fabian</dc:creator>
  <cp:lastModifiedBy>Probost, Fabian</cp:lastModifiedBy>
  <dcterms:created xsi:type="dcterms:W3CDTF">2025-09-26T08:09:46Z</dcterms:created>
  <dcterms:modified xsi:type="dcterms:W3CDTF">2025-09-26T08:32:40Z</dcterms:modified>
</cp:coreProperties>
</file>